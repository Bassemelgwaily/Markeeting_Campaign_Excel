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excel chat gpt\Marketing Analysis\"/>
    </mc:Choice>
  </mc:AlternateContent>
  <xr:revisionPtr revIDLastSave="0" documentId="13_ncr:1_{F88C543F-6843-4228-A159-C56CC3B612D2}" xr6:coauthVersionLast="47" xr6:coauthVersionMax="47" xr10:uidLastSave="{00000000-0000-0000-0000-000000000000}"/>
  <bookViews>
    <workbookView xWindow="-120" yWindow="-120" windowWidth="20730" windowHeight="11160" activeTab="1" xr2:uid="{344CFFE3-D75D-4035-978D-22D66E6BA74E}"/>
  </bookViews>
  <sheets>
    <sheet name="Reports" sheetId="3" r:id="rId1"/>
    <sheet name="Dashboard" sheetId="4" r:id="rId2"/>
    <sheet name="Cleaned Data" sheetId="2" r:id="rId3"/>
    <sheet name="Raw Data" sheetId="1" r:id="rId4"/>
  </sheets>
  <definedNames>
    <definedName name="_xlcn.WorksheetConnection_Book1.xlsxTable1_11" hidden="1">Table1_1[]</definedName>
    <definedName name="ExternalData_1" localSheetId="2" hidden="1">'Cleaned Data'!$A$1:$J$309</definedName>
    <definedName name="Slicer_category">#N/A</definedName>
  </definedNames>
  <calcPr calcId="191029"/>
  <pivotCaches>
    <pivotCache cacheId="273" r:id="rId5"/>
    <pivotCache cacheId="276" r:id="rId6"/>
    <pivotCache cacheId="279" r:id="rId7"/>
    <pivotCache cacheId="282" r:id="rId8"/>
    <pivotCache cacheId="285" r:id="rId9"/>
    <pivotCache cacheId="288" r:id="rId10"/>
    <pivotCache cacheId="291" r:id="rId11"/>
    <pivotCache cacheId="294" r:id="rId12"/>
    <pivotCache cacheId="297" r:id="rId13"/>
    <pivotCache cacheId="300" r:id="rId14"/>
    <pivotCache cacheId="303" r:id="rId15"/>
    <pivotCache cacheId="306"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Book1.xlsx!Table1_1"/>
        </x15:modelTables>
        <x15:extLst>
          <ext xmlns:x16="http://schemas.microsoft.com/office/spreadsheetml/2014/11/main" uri="{9835A34E-60A6-4A7C-AAB8-D5F71C897F49}">
            <x16:modelTimeGroupings>
              <x16:modelTimeGrouping tableName="Table1_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E15" i="3"/>
  <c r="C15" i="3" a="1"/>
  <c r="C15" i="3" s="1"/>
  <c r="A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4C12DE-30D8-4820-A781-1FF0BF462CF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3CB42F8C-F640-4FBB-972C-FDA854931B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68AC516-D45B-4A7E-86D6-CFE880752780}" name="WorksheetConnection_Book1.xlsx!Table1_1" type="102" refreshedVersion="8" minRefreshableVersion="5">
    <extLst>
      <ext xmlns:x15="http://schemas.microsoft.com/office/spreadsheetml/2010/11/main" uri="{DE250136-89BD-433C-8126-D09CA5730AF9}">
        <x15:connection id="Table1_1">
          <x15:rangePr sourceName="_xlcn.WorksheetConnection_Book1.xlsxTable1_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<sst xmlns="http://schemas.openxmlformats.org/spreadsheetml/2006/main" count="1315" uniqueCount="49">
  <si>
    <t>face_tier1</t>
  </si>
  <si>
    <t>social</t>
  </si>
  <si>
    <t>face_tier2</t>
  </si>
  <si>
    <t>google_hot</t>
  </si>
  <si>
    <t>search</t>
  </si>
  <si>
    <t>google_wide</t>
  </si>
  <si>
    <t>youtube_blogger</t>
  </si>
  <si>
    <t>influencer</t>
  </si>
  <si>
    <t>insta_tier1</t>
  </si>
  <si>
    <t>insta_tier2</t>
  </si>
  <si>
    <t>face_retargeting</t>
  </si>
  <si>
    <t>face_lal</t>
  </si>
  <si>
    <t>insta_blogger</t>
  </si>
  <si>
    <t>banner_partner</t>
  </si>
  <si>
    <t>media</t>
  </si>
  <si>
    <t>revenue</t>
  </si>
  <si>
    <t>orders</t>
  </si>
  <si>
    <t>leads</t>
  </si>
  <si>
    <t>clicks</t>
  </si>
  <si>
    <t>mark_spent</t>
  </si>
  <si>
    <t>impressions</t>
  </si>
  <si>
    <t>category</t>
  </si>
  <si>
    <t>campaign_name</t>
  </si>
  <si>
    <t>id</t>
  </si>
  <si>
    <t>date</t>
  </si>
  <si>
    <t>searcH</t>
  </si>
  <si>
    <t>so  cial</t>
  </si>
  <si>
    <t>so   cial</t>
  </si>
  <si>
    <t>Influencer</t>
  </si>
  <si>
    <t>Social</t>
  </si>
  <si>
    <t>Search</t>
  </si>
  <si>
    <t>Media</t>
  </si>
  <si>
    <t>Row Labels</t>
  </si>
  <si>
    <t>Grand Total</t>
  </si>
  <si>
    <t>Total Orders</t>
  </si>
  <si>
    <t>ROI</t>
  </si>
  <si>
    <t>Total Spent</t>
  </si>
  <si>
    <t>Total Revenue</t>
  </si>
  <si>
    <t>Revenue</t>
  </si>
  <si>
    <t>Orders</t>
  </si>
  <si>
    <t>Sum of mark_spent</t>
  </si>
  <si>
    <t>Cost</t>
  </si>
  <si>
    <t>Profit</t>
  </si>
  <si>
    <t>Feb</t>
  </si>
  <si>
    <t>CPA</t>
  </si>
  <si>
    <t>Sum of impressions</t>
  </si>
  <si>
    <t>Sum of clicks</t>
  </si>
  <si>
    <t>Sum of leads</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</si>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</sst>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Calibri"/>
      <family val="2"/>
      <scheme val="minor"/>
    </font>
    <font>
      <sz val="16"/>
      <color rgb="FFED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9" fontId="0" fillId="0" borderId="0" xfId="0" applyNumberFormat="1"/>
    <xf numFmtId="0" fontId="1" fillId="0" borderId="0" xfId="0" applyFont="1"/>
    <xf numFmtId="14" fontId="0" fillId="0" borderId="0" xfId="0" applyNumberFormat="1" applyAlignment="1">
      <alignment horizontal="left" indent="1"/>
    </xf>
    <xf numFmtId="0" fontId="0" fillId="0" borderId="0" xfId="0" applyNumberFormat="1"/>
  </cellXfs>
  <cellStyles count="1">
    <cellStyle name="Normal" xfId="0" builtinId="0"/>
  </cellStyles>
  <dxfs count="23">
    <dxf>
      <fill>
        <patternFill>
          <bgColor theme="0" tint="-0.14996795556505021"/>
        </patternFill>
      </fill>
      <border>
        <left style="thin">
          <color auto="1"/>
        </left>
        <right style="thin">
          <color auto="1"/>
        </right>
        <top style="thin">
          <color auto="1"/>
        </top>
        <bottom style="thin">
          <color auto="1"/>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numFmt numFmtId="0" formatCode="General"/>
    </dxf>
    <dxf>
      <numFmt numFmtId="0" formatCode="General"/>
    </dxf>
    <dxf>
      <numFmt numFmtId="19" formatCode="m/d/yyyy"/>
    </dxf>
    <dxf>
      <fill>
        <patternFill>
          <bgColor theme="2"/>
        </patternFill>
      </fill>
    </dxf>
    <dxf>
      <fill>
        <patternFill>
          <bgColor theme="2"/>
        </patternFill>
      </fill>
      <border diagonalUp="0" diagonalDown="0">
        <left/>
        <right/>
        <top/>
        <bottom/>
        <vertical/>
        <horizontal/>
      </border>
    </dxf>
    <dxf>
      <fill>
        <patternFill>
          <bgColor theme="4"/>
        </patternFill>
      </fill>
      <border diagonalUp="0" diagonalDown="0">
        <left/>
        <right/>
        <top/>
        <bottom/>
        <vertical/>
        <horizontal/>
      </border>
    </dxf>
    <dxf>
      <border>
        <left style="thick">
          <color auto="1"/>
        </left>
        <right style="thick">
          <color auto="1"/>
        </right>
        <top style="thick">
          <color auto="1"/>
        </top>
        <bottom style="thick">
          <color auto="1"/>
        </bottom>
      </border>
    </dxf>
    <dxf>
      <fill>
        <gradientFill degree="90">
          <stop position="0">
            <color theme="2"/>
          </stop>
          <stop position="1">
            <color theme="2" tint="-0.25098422193060094"/>
          </stop>
        </gradientFill>
      </fill>
    </dxf>
    <dxf>
      <font>
        <name val="Calibri Light"/>
        <family val="2"/>
        <scheme val="major"/>
      </font>
      <fill>
        <patternFill patternType="solid">
          <fgColor theme="2"/>
          <bgColor theme="2"/>
        </patternFill>
      </fill>
      <border diagonalUp="0" diagonalDown="0">
        <left/>
        <right/>
        <top/>
        <bottom/>
        <vertical/>
        <horizontal/>
      </border>
    </dxf>
    <dxf>
      <fill>
        <patternFill patternType="solid">
          <bgColor theme="2"/>
        </patternFill>
      </fill>
      <border diagonalUp="0" diagonalDown="0">
        <left/>
        <right/>
        <top/>
        <bottom/>
        <vertical/>
        <horizontal/>
      </border>
    </dxf>
    <dxf>
      <fill>
        <patternFill>
          <bgColor theme="2"/>
        </patternFill>
      </fill>
    </dxf>
    <dxf>
      <fill>
        <patternFill patternType="none">
          <fgColor indexed="64"/>
          <bgColor auto="1"/>
        </patternFill>
      </fill>
      <border>
        <left style="thin">
          <color auto="1"/>
        </left>
        <right style="thin">
          <color auto="1"/>
        </right>
        <top style="thin">
          <color auto="1"/>
        </top>
        <bottom style="thin">
          <color auto="1"/>
        </bottom>
      </border>
    </dxf>
    <dxf>
      <fill>
        <patternFill>
          <bgColor theme="2"/>
        </patternFill>
      </fill>
    </dxf>
    <dxf>
      <border>
        <left style="thin">
          <color auto="1"/>
        </left>
        <right style="thin">
          <color auto="1"/>
        </right>
        <top style="thin">
          <color auto="1"/>
        </top>
        <bottom style="thin">
          <color auto="1"/>
        </bottom>
      </border>
    </dxf>
    <dxf>
      <fill>
        <patternFill>
          <bgColor theme="2"/>
        </patternFill>
      </fill>
      <border>
        <left style="thin">
          <color auto="1"/>
        </left>
        <right style="thin">
          <color auto="1"/>
        </right>
        <top style="thin">
          <color auto="1"/>
        </top>
        <bottom style="thin">
          <color auto="1"/>
        </bottom>
      </border>
    </dxf>
    <dxf>
      <fill>
        <patternFill>
          <bgColor theme="0" tint="-4.9989318521683403E-2"/>
        </patternFill>
      </fill>
      <border>
        <left style="thin">
          <color auto="1"/>
        </left>
        <right style="thin">
          <color auto="1"/>
        </right>
        <top style="thin">
          <color auto="1"/>
        </top>
        <bottom style="thin">
          <color auto="1"/>
        </bottom>
      </border>
    </dxf>
    <dxf>
      <fill>
        <patternFill>
          <bgColor theme="0" tint="-4.9989318521683403E-2"/>
        </patternFill>
      </fill>
    </dxf>
    <dxf>
      <border diagonalUp="0" diagonalDown="0">
        <left/>
        <right/>
        <top/>
        <bottom/>
        <vertical/>
        <horizontal/>
      </border>
    </dxf>
    <dxf>
      <font>
        <sz val="10"/>
      </font>
      <fill>
        <patternFill patternType="solid">
          <fgColor theme="2"/>
        </patternFill>
      </fill>
      <border diagonalUp="0" diagonalDown="0">
        <left/>
        <right/>
        <top/>
        <bottom/>
        <vertical/>
        <horizontal/>
      </border>
    </dxf>
    <dxf>
      <font>
        <name val="Abadi"/>
        <family val="2"/>
        <scheme val="none"/>
      </font>
      <fill>
        <patternFill>
          <fgColor theme="0"/>
        </patternFill>
      </fill>
      <border diagonalUp="0" diagonalDown="0">
        <left/>
        <right/>
        <top/>
        <bottom/>
        <vertical/>
        <horizontal/>
      </border>
    </dxf>
    <dxf>
      <font>
        <name val="Calibri Light"/>
        <family val="2"/>
        <scheme val="major"/>
      </font>
    </dxf>
  </dxfs>
  <tableStyles count="25" defaultTableStyle="TableStyleMedium2" defaultPivotStyle="PivotStyleLight16">
    <tableStyle name="Invisible" pivot="0" table="0" count="0" xr9:uid="{B53AD9C2-8F28-4BFC-9725-99A0B55AC7C9}"/>
    <tableStyle name="Slicer Style 1" pivot="0" table="0" count="2" xr9:uid="{C468F8D3-5FF9-48B5-AAB3-80F585DDFF34}">
      <tableStyleElement type="headerRow" dxfId="22"/>
    </tableStyle>
    <tableStyle name="Slicer Style 10" pivot="0" table="0" count="1" xr9:uid="{71754B2B-2B43-4357-AA17-512262998D19}">
      <tableStyleElement type="wholeTable" dxfId="21"/>
    </tableStyle>
    <tableStyle name="Slicer Style 11" pivot="0" table="0" count="1" xr9:uid="{A56DD26A-E346-4036-9206-B2459EDB8E20}">
      <tableStyleElement type="wholeTable" dxfId="20"/>
    </tableStyle>
    <tableStyle name="Slicer Style 12" pivot="0" table="0" count="1" xr9:uid="{CE5FC7C6-24FB-41F9-AE2F-764AB6EEF616}">
      <tableStyleElement type="wholeTable" dxfId="19"/>
    </tableStyle>
    <tableStyle name="Slicer Style 13" pivot="0" table="0" count="1" xr9:uid="{0929C5D1-2531-43F8-B858-ED787B60148E}">
      <tableStyleElement type="wholeTable" dxfId="18"/>
    </tableStyle>
    <tableStyle name="Slicer Style 13 2" pivot="0" table="0" count="1" xr9:uid="{F7FC0E6E-7284-482B-BA9C-98D5333A856F}">
      <tableStyleElement type="wholeTable" dxfId="17"/>
    </tableStyle>
    <tableStyle name="Slicer Style 14" pivot="0" table="0" count="1" xr9:uid="{08C02DB2-509C-4AF3-8FBE-FFD4A0C8E5E8}">
      <tableStyleElement type="wholeTable" dxfId="16"/>
    </tableStyle>
    <tableStyle name="Slicer Style 14 2" pivot="0" table="0" count="1" xr9:uid="{A2C935F6-A9B9-4B00-8E73-81EA7DFA1E43}">
      <tableStyleElement type="wholeTable" dxfId="0"/>
    </tableStyle>
    <tableStyle name="Slicer Style 15" pivot="0" table="0" count="1" xr9:uid="{BF72D821-D520-4FF3-9BB1-84DBBF1987C5}">
      <tableStyleElement type="headerRow" dxfId="15"/>
    </tableStyle>
    <tableStyle name="Slicer Style 16" pivot="0" table="0" count="1" xr9:uid="{F370A420-04F6-43A2-88CB-5988EAD5DD62}"/>
    <tableStyle name="Slicer Style 17" pivot="0" table="0" count="1" xr9:uid="{ADB664AF-9AE0-4C4D-B147-09DF8D62BB76}"/>
    <tableStyle name="Slicer Style 18" pivot="0" table="0" count="1" xr9:uid="{E94433CB-38F0-4262-B81D-6BC46F600BED}">
      <tableStyleElement type="wholeTable" dxfId="14"/>
    </tableStyle>
    <tableStyle name="Slicer Style 19" pivot="0" table="0" count="1" xr9:uid="{B4AAEA30-5C19-485E-8DDF-DB9EF1BCF243}">
      <tableStyleElement type="wholeTable" dxfId="13"/>
    </tableStyle>
    <tableStyle name="Slicer Style 2" pivot="0" table="0" count="1" xr9:uid="{1B7E0326-133A-4AE5-B318-718D4D0AC606}">
      <tableStyleElement type="wholeTable" dxfId="12"/>
    </tableStyle>
    <tableStyle name="Slicer Style 20" pivot="0" table="0" count="2" xr9:uid="{BF7A7472-33AB-41CF-9697-00CC96AA6AAB}"/>
    <tableStyle name="Slicer Style 21" pivot="0" table="0" count="1" xr9:uid="{0ADB439E-6994-464A-975C-D1F5321F698E}">
      <tableStyleElement type="wholeTable" dxfId="11"/>
    </tableStyle>
    <tableStyle name="Slicer Style 22" pivot="0" table="0" count="1" xr9:uid="{1C88508C-E1B6-4269-ADBF-C221BFAE911B}">
      <tableStyleElement type="wholeTable" dxfId="1"/>
    </tableStyle>
    <tableStyle name="Slicer Style 3" pivot="0" table="0" count="1" xr9:uid="{6CDF6734-E17B-431E-B840-B7705C757A55}">
      <tableStyleElement type="headerRow" dxfId="10"/>
    </tableStyle>
    <tableStyle name="Slicer Style 4" pivot="0" table="0" count="1" xr9:uid="{656722A1-C2AA-449D-BDB7-35CAD70B8AC6}">
      <tableStyleElement type="headerRow" dxfId="9"/>
    </tableStyle>
    <tableStyle name="Slicer Style 5" pivot="0" table="0" count="1" xr9:uid="{542C304B-6437-49E2-AB75-0742E1C4F07A}"/>
    <tableStyle name="Slicer Style 6" pivot="0" table="0" count="1" xr9:uid="{9AE8B4BC-2EE8-43CE-8C51-DD98850424B9}">
      <tableStyleElement type="wholeTable" dxfId="8"/>
    </tableStyle>
    <tableStyle name="Slicer Style 7" pivot="0" table="0" count="1" xr9:uid="{AA61E41C-9C50-4C76-AD4E-C4B8667459BB}">
      <tableStyleElement type="wholeTable" dxfId="7"/>
    </tableStyle>
    <tableStyle name="Slicer Style 8" pivot="0" table="0" count="2" xr9:uid="{F4056D2B-3BB7-4959-928C-0ED79EB1FC0B}">
      <tableStyleElement type="wholeTable" dxfId="6"/>
      <tableStyleElement type="headerRow" dxfId="5"/>
    </tableStyle>
    <tableStyle name="Slicer Style 9" pivot="0" table="0" count="1" xr9:uid="{A509D05A-722D-402E-B0FB-73C4A5E29D75}"/>
  </tableStyles>
  <colors>
    <mruColors>
      <color rgb="FF33CCFF"/>
    </mruColors>
  </colors>
  <extLst>
    <ext xmlns:x14="http://schemas.microsoft.com/office/spreadsheetml/2009/9/main" uri="{46F421CA-312F-682f-3DD2-61675219B42D}">
      <x14:dxfs count="7">
        <dxf>
          <fill>
            <patternFill>
              <bgColor theme="2"/>
            </patternFill>
          </fill>
          <border diagonalUp="0" diagonalDown="0">
            <left/>
            <right/>
            <top/>
            <bottom/>
            <vertical/>
            <horizontal/>
          </border>
        </dxf>
        <dxf>
          <border>
            <left style="thin">
              <color auto="1"/>
            </left>
            <right style="thin">
              <color auto="1"/>
            </right>
            <top style="thin">
              <color auto="1"/>
            </top>
            <bottom style="thin">
              <color auto="1"/>
            </bottom>
          </border>
        </dxf>
        <dxf>
          <fill>
            <patternFill>
              <bgColor theme="1" tint="0.24994659260841701"/>
            </patternFill>
          </fill>
        </dxf>
        <dxf>
          <fill>
            <patternFill>
              <bgColor theme="1"/>
            </patternFill>
          </fill>
        </dxf>
        <dxf>
          <fill>
            <patternFill>
              <bgColor theme="0"/>
            </patternFill>
          </fill>
          <border>
            <left style="thin">
              <color auto="1"/>
            </left>
            <right style="thin">
              <color auto="1"/>
            </right>
            <top style="thin">
              <color auto="1"/>
            </top>
            <bottom style="thin">
              <color auto="1"/>
            </bottom>
          </border>
        </dxf>
        <dxf>
          <font>
            <sz val="8"/>
          </font>
          <border>
            <left style="thin">
              <color auto="1"/>
            </left>
            <right style="thin">
              <color auto="1"/>
            </right>
            <top style="thin">
              <color auto="1"/>
            </top>
            <bottom style="thin">
              <color auto="1"/>
            </bottom>
          </border>
        </dxf>
        <dxf>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6"/>
          </x14:slicerStyleElements>
        </x14:slicerStyle>
        <x14:slicerStyle name="Slicer Style 10"/>
        <x14:slicerStyle name="Slicer Style 11"/>
        <x14:slicerStyle name="Slicer Style 12"/>
        <x14:slicerStyle name="Slicer Style 13"/>
        <x14:slicerStyle name="Slicer Style 13 2"/>
        <x14:slicerStyle name="Slicer Style 14"/>
        <x14:slicerStyle name="Slicer Style 14 2"/>
        <x14:slicerStyle name="Slicer Style 15"/>
        <x14:slicerStyle name="Slicer Style 16">
          <x14:slicerStyleElements>
            <x14:slicerStyleElement type="selectedItemWithData" dxfId="5"/>
          </x14:slicerStyleElements>
        </x14:slicerStyle>
        <x14:slicerStyle name="Slicer Style 17">
          <x14:slicerStyleElements>
            <x14:slicerStyleElement type="unselectedItemWithData" dxfId="4"/>
          </x14:slicerStyleElements>
        </x14:slicerStyle>
        <x14:slicerStyle name="Slicer Style 18"/>
        <x14:slicerStyle name="Slicer Style 19"/>
        <x14:slicerStyle name="Slicer Style 2"/>
        <x14:slicerStyle name="Slicer Style 20">
          <x14:slicerStyleElements>
            <x14:slicerStyleElement type="selectedItemWithData" dxfId="3"/>
            <x14:slicerStyleElement type="hoveredUnselectedItemWithData" dxfId="2"/>
          </x14:slicerStyleElements>
        </x14:slicerStyle>
        <x14:slicerStyle name="Slicer Style 21"/>
        <x14:slicerStyle name="Slicer Style 22"/>
        <x14:slicerStyle name="Slicer Style 3"/>
        <x14:slicerStyle name="Slicer Style 4"/>
        <x14:slicerStyle name="Slicer Style 5">
          <x14:slicerStyleElements>
            <x14:slicerStyleElement type="selectedItemWithData" dxfId="1"/>
          </x14:slicerStyleElements>
        </x14:slicerStyle>
        <x14:slicerStyle name="Slicer Style 6"/>
        <x14:slicerStyle name="Slicer Style 7"/>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[Marketing_Analysis.xlsx]Reports!Category_Name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rPr>
              <a:t>Orders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pivotFmt>
      <c:pivotFmt>
        <c:idx val="4"/>
        <c:spPr>
          <a:solidFill>
            <a:schemeClr val="tx1"/>
          </a:solidFill>
          <a:ln>
            <a:noFill/>
          </a:ln>
          <a:effectLst/>
        </c:spPr>
      </c:pivotFmt>
      <c:pivotFmt>
        <c:idx val="5"/>
        <c:spPr>
          <a:solidFill>
            <a:schemeClr val="tx1"/>
          </a:solidFill>
          <a:ln>
            <a:noFill/>
          </a:ln>
          <a:effectLst/>
        </c:spPr>
      </c:pivotFmt>
      <c:pivotFmt>
        <c:idx val="6"/>
        <c:spPr>
          <a:solidFill>
            <a:schemeClr val="tx1"/>
          </a:solidFill>
          <a:ln>
            <a:noFill/>
          </a:ln>
          <a:effectLst/>
        </c:spPr>
      </c:pivotFmt>
    </c:pivotFmts>
    <c:plotArea>
      <c:layout/>
      <c:barChart>
        <c:barDir val="col"/>
        <c:grouping val="clustered"/>
        <c:varyColors val="0"/>
        <c:ser>
          <c:idx val="0"/>
          <c:order val="0"/>
          <c:tx>
            <c:strRef>
              <c:f>Reports!$B$3</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AAB5-4DE3-93E4-C7CCAAFDADAB}"/>
              </c:ext>
            </c:extLst>
          </c:dPt>
          <c:dPt>
            <c:idx val="1"/>
            <c:invertIfNegative val="0"/>
            <c:bubble3D val="0"/>
            <c:spPr>
              <a:solidFill>
                <a:schemeClr val="tx1"/>
              </a:solidFill>
              <a:ln>
                <a:noFill/>
              </a:ln>
              <a:effectLst/>
            </c:spPr>
            <c:extLst>
              <c:ext xmlns:c16="http://schemas.microsoft.com/office/drawing/2014/chart" uri="{C3380CC4-5D6E-409C-BE32-E72D297353CC}">
                <c16:uniqueId val="{00000001-AAB5-4DE3-93E4-C7CCAAFDADAB}"/>
              </c:ext>
            </c:extLst>
          </c:dPt>
          <c:dPt>
            <c:idx val="2"/>
            <c:invertIfNegative val="0"/>
            <c:bubble3D val="0"/>
            <c:spPr>
              <a:solidFill>
                <a:schemeClr val="tx1"/>
              </a:solidFill>
              <a:ln>
                <a:noFill/>
              </a:ln>
              <a:effectLst/>
            </c:spPr>
            <c:extLst>
              <c:ext xmlns:c16="http://schemas.microsoft.com/office/drawing/2014/chart" uri="{C3380CC4-5D6E-409C-BE32-E72D297353CC}">
                <c16:uniqueId val="{00000002-AAB5-4DE3-93E4-C7CCAAFDADAB}"/>
              </c:ext>
            </c:extLst>
          </c:dPt>
          <c:dPt>
            <c:idx val="3"/>
            <c:invertIfNegative val="0"/>
            <c:bubble3D val="0"/>
            <c:spPr>
              <a:solidFill>
                <a:schemeClr val="tx1"/>
              </a:solidFill>
              <a:ln>
                <a:noFill/>
              </a:ln>
              <a:effectLst/>
            </c:spPr>
            <c:extLst>
              <c:ext xmlns:c16="http://schemas.microsoft.com/office/drawing/2014/chart" uri="{C3380CC4-5D6E-409C-BE32-E72D297353CC}">
                <c16:uniqueId val="{00000003-AAB5-4DE3-93E4-C7CCAAFDADAB}"/>
              </c:ext>
            </c:extLst>
          </c:dPt>
          <c:cat>
            <c:strRef>
              <c:f>Reports!$A$4:$A$8</c:f>
              <c:strCache>
                <c:ptCount val="4"/>
                <c:pt idx="0">
                  <c:v>Influencer</c:v>
                </c:pt>
                <c:pt idx="1">
                  <c:v>Media</c:v>
                </c:pt>
                <c:pt idx="2">
                  <c:v>Search</c:v>
                </c:pt>
                <c:pt idx="3">
                  <c:v>Social</c:v>
                </c:pt>
              </c:strCache>
            </c:strRef>
          </c:cat>
          <c:val>
            <c:numRef>
              <c:f>Reports!$B$4:$B$8</c:f>
              <c:numCache>
                <c:formatCode>General</c:formatCode>
                <c:ptCount val="4"/>
                <c:pt idx="0">
                  <c:v>3014</c:v>
                </c:pt>
                <c:pt idx="1">
                  <c:v>1566</c:v>
                </c:pt>
                <c:pt idx="2">
                  <c:v>828</c:v>
                </c:pt>
                <c:pt idx="3">
                  <c:v>2635</c:v>
                </c:pt>
              </c:numCache>
            </c:numRef>
          </c:val>
          <c:extLst>
            <c:ext xmlns:c16="http://schemas.microsoft.com/office/drawing/2014/chart" uri="{C3380CC4-5D6E-409C-BE32-E72D297353CC}">
              <c16:uniqueId val="{00000000-8C67-49BB-BBA9-D8A6C58443F4}"/>
            </c:ext>
          </c:extLst>
        </c:ser>
        <c:dLbls>
          <c:showLegendKey val="0"/>
          <c:showVal val="0"/>
          <c:showCatName val="0"/>
          <c:showSerName val="0"/>
          <c:showPercent val="0"/>
          <c:showBubbleSize val="0"/>
        </c:dLbls>
        <c:gapWidth val="219"/>
        <c:overlap val="-27"/>
        <c:axId val="775785296"/>
        <c:axId val="775793936"/>
      </c:barChart>
      <c:catAx>
        <c:axId val="77578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93936"/>
        <c:crosses val="autoZero"/>
        <c:auto val="1"/>
        <c:lblAlgn val="ctr"/>
        <c:lblOffset val="100"/>
        <c:noMultiLvlLbl val="0"/>
      </c:catAx>
      <c:valAx>
        <c:axId val="775793936"/>
        <c:scaling>
          <c:orientation val="minMax"/>
        </c:scaling>
        <c:delete val="1"/>
        <c:axPos val="l"/>
        <c:numFmt formatCode="General" sourceLinked="1"/>
        <c:majorTickMark val="none"/>
        <c:minorTickMark val="none"/>
        <c:tickLblPos val="nextTo"/>
        <c:crossAx val="77578529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[Marketing_Analysis.xlsx]Reports!PivotTable9</c:name>
    <c:fmtId val="2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s>
    <c:plotArea>
      <c:layout/>
      <c:lineChart>
        <c:grouping val="standard"/>
        <c:varyColors val="0"/>
        <c:ser>
          <c:idx val="0"/>
          <c:order val="0"/>
          <c:tx>
            <c:strRef>
              <c:f>Reports!$M$11</c:f>
              <c:strCache>
                <c:ptCount val="1"/>
                <c:pt idx="0">
                  <c:v>Total</c:v>
                </c:pt>
              </c:strCache>
            </c:strRef>
          </c:tx>
          <c:spPr>
            <a:ln w="28575" cap="rnd">
              <a:solidFill>
                <a:schemeClr val="tx1"/>
              </a:solidFill>
              <a:round/>
            </a:ln>
            <a:effectLst/>
          </c:spPr>
          <c:marker>
            <c:symbol val="none"/>
          </c:marker>
          <c:cat>
            <c:multiLvlStrRef>
              <c:f>Reports!$L$12:$L$41</c:f>
              <c:multiLvlStrCache>
                <c:ptCount val="28"/>
                <c:lvl>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lvl>
                <c:lvl>
                  <c:pt idx="0">
                    <c:v>Feb</c:v>
                  </c:pt>
                </c:lvl>
              </c:multiLvlStrCache>
            </c:multiLvlStrRef>
          </c:cat>
          <c:val>
            <c:numRef>
              <c:f>Reports!$M$12:$M$41</c:f>
              <c:numCache>
                <c:formatCode>0</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4C58-4812-9739-47DA3D6A1500}"/>
            </c:ext>
          </c:extLst>
        </c:ser>
        <c:dLbls>
          <c:showLegendKey val="0"/>
          <c:showVal val="0"/>
          <c:showCatName val="0"/>
          <c:showSerName val="0"/>
          <c:showPercent val="0"/>
          <c:showBubbleSize val="0"/>
        </c:dLbls>
        <c:smooth val="0"/>
        <c:axId val="1980305807"/>
        <c:axId val="1980306767"/>
      </c:lineChart>
      <c:catAx>
        <c:axId val="1980305807"/>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0306767"/>
        <c:crosses val="autoZero"/>
        <c:auto val="1"/>
        <c:lblAlgn val="ctr"/>
        <c:lblOffset val="100"/>
        <c:noMultiLvlLbl val="0"/>
      </c:catAx>
      <c:valAx>
        <c:axId val="1980306767"/>
        <c:scaling>
          <c:orientation val="minMax"/>
        </c:scaling>
        <c:delete val="1"/>
        <c:axPos val="l"/>
        <c:numFmt formatCode="0" sourceLinked="1"/>
        <c:majorTickMark val="out"/>
        <c:minorTickMark val="none"/>
        <c:tickLblPos val="nextTo"/>
        <c:crossAx val="198030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[Marketing_Analysis.xlsx]Reports!PivotTable1</c:name>
    <c:fmtId val="5"/>
  </c:pivotSource>
  <c:chart>
    <c:title>
      <c:tx>
        <c:rich>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r>
              <a:rPr lang="en-US"/>
              <a:t>Customer Acquisition</a:t>
            </a:r>
          </a:p>
        </c:rich>
      </c:tx>
      <c:overlay val="0"/>
      <c:spPr>
        <a:noFill/>
        <a:ln>
          <a:noFill/>
        </a:ln>
        <a:effectLst/>
      </c:spPr>
      <c:txPr>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tx1">
                <a:lumMod val="95000"/>
                <a:lumOff val="5000"/>
              </a:schemeClr>
            </a:solidFill>
          </a:ln>
          <a:effectLst/>
        </c:spPr>
      </c:pivotFmt>
      <c:pivotFmt>
        <c:idx val="6"/>
        <c:spPr>
          <a:solidFill>
            <a:schemeClr val="tx1"/>
          </a:solidFill>
          <a:ln>
            <a:solidFill>
              <a:schemeClr val="tx1">
                <a:lumMod val="95000"/>
                <a:lumOff val="5000"/>
              </a:schemeClr>
            </a:solidFill>
          </a:ln>
          <a:effectLst/>
        </c:spPr>
      </c:pivotFmt>
      <c:pivotFmt>
        <c:idx val="7"/>
        <c:spPr>
          <a:solidFill>
            <a:schemeClr val="tx1"/>
          </a:solidFill>
          <a:ln>
            <a:solidFill>
              <a:schemeClr val="tx1">
                <a:lumMod val="95000"/>
                <a:lumOff val="5000"/>
              </a:schemeClr>
            </a:solidFill>
          </a:ln>
          <a:effectLst/>
        </c:spPr>
      </c:pivotFmt>
      <c:pivotFmt>
        <c:idx val="8"/>
        <c:spPr>
          <a:solidFill>
            <a:schemeClr val="tx1"/>
          </a:solidFill>
          <a:ln>
            <a:solidFill>
              <a:schemeClr val="tx1">
                <a:lumMod val="95000"/>
                <a:lumOff val="5000"/>
              </a:schemeClr>
            </a:solidFill>
          </a:ln>
          <a:effectLst/>
        </c:spPr>
      </c:pivotFmt>
    </c:pivotFmts>
    <c:plotArea>
      <c:layout/>
      <c:barChart>
        <c:barDir val="bar"/>
        <c:grouping val="clustered"/>
        <c:varyColors val="0"/>
        <c:ser>
          <c:idx val="0"/>
          <c:order val="0"/>
          <c:tx>
            <c:strRef>
              <c:f>Reports!$B$18</c:f>
              <c:strCache>
                <c:ptCount val="1"/>
                <c:pt idx="0">
                  <c:v>Total</c:v>
                </c:pt>
              </c:strCache>
            </c:strRef>
          </c:tx>
          <c:spPr>
            <a:solidFill>
              <a:schemeClr val="tx1"/>
            </a:solidFill>
            <a:ln>
              <a:solidFill>
                <a:schemeClr val="tx1">
                  <a:lumMod val="95000"/>
                  <a:lumOff val="5000"/>
                </a:schemeClr>
              </a:solidFill>
            </a:ln>
            <a:effectLst/>
          </c:spPr>
          <c:invertIfNegative val="0"/>
          <c:dPt>
            <c:idx val="0"/>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3-09CC-4232-A764-B4E8187272A3}"/>
              </c:ext>
            </c:extLst>
          </c:dPt>
          <c:dPt>
            <c:idx val="1"/>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2-09CC-4232-A764-B4E8187272A3}"/>
              </c:ext>
            </c:extLst>
          </c:dPt>
          <c:dPt>
            <c:idx val="2"/>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1-09CC-4232-A764-B4E8187272A3}"/>
              </c:ext>
            </c:extLst>
          </c:dPt>
          <c:dPt>
            <c:idx val="3"/>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0-09CC-4232-A764-B4E8187272A3}"/>
              </c:ext>
            </c:extLst>
          </c:dPt>
          <c:cat>
            <c:strRef>
              <c:f>Reports!$A$19:$A$23</c:f>
              <c:strCache>
                <c:ptCount val="4"/>
                <c:pt idx="0">
                  <c:v>Influencer</c:v>
                </c:pt>
                <c:pt idx="1">
                  <c:v>Media</c:v>
                </c:pt>
                <c:pt idx="2">
                  <c:v>Search</c:v>
                </c:pt>
                <c:pt idx="3">
                  <c:v>Social</c:v>
                </c:pt>
              </c:strCache>
            </c:strRef>
          </c:cat>
          <c:val>
            <c:numRef>
              <c:f>Reports!$B$19:$B$23</c:f>
              <c:numCache>
                <c:formatCode>"$"#,##0</c:formatCode>
                <c:ptCount val="4"/>
                <c:pt idx="0">
                  <c:v>2755.5753417385536</c:v>
                </c:pt>
                <c:pt idx="1">
                  <c:v>3209.8817113665386</c:v>
                </c:pt>
                <c:pt idx="2">
                  <c:v>4179.2271376811595</c:v>
                </c:pt>
                <c:pt idx="3">
                  <c:v>5236.6227362428845</c:v>
                </c:pt>
              </c:numCache>
            </c:numRef>
          </c:val>
          <c:extLst>
            <c:ext xmlns:c16="http://schemas.microsoft.com/office/drawing/2014/chart" uri="{C3380CC4-5D6E-409C-BE32-E72D297353CC}">
              <c16:uniqueId val="{00000000-C9D1-47D1-87BD-2749CAEE38A6}"/>
            </c:ext>
          </c:extLst>
        </c:ser>
        <c:dLbls>
          <c:showLegendKey val="0"/>
          <c:showVal val="0"/>
          <c:showCatName val="0"/>
          <c:showSerName val="0"/>
          <c:showPercent val="0"/>
          <c:showBubbleSize val="0"/>
        </c:dLbls>
        <c:gapWidth val="182"/>
        <c:axId val="685354543"/>
        <c:axId val="685333423"/>
      </c:barChart>
      <c:catAx>
        <c:axId val="6853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5333423"/>
        <c:crosses val="autoZero"/>
        <c:auto val="1"/>
        <c:lblAlgn val="ctr"/>
        <c:lblOffset val="100"/>
        <c:noMultiLvlLbl val="0"/>
      </c:catAx>
      <c:valAx>
        <c:axId val="685333423"/>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53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[Marketing_Analysis.xlsx]Reports!PivotTable11</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a:solidFill>
                  <a:schemeClr val="tx1">
                    <a:lumMod val="95000"/>
                    <a:lumOff val="5000"/>
                  </a:schemeClr>
                </a:solidFill>
              </a:rPr>
              <a:t> Orders by Campaign Name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tx1">
                <a:lumMod val="95000"/>
                <a:lumOff val="5000"/>
              </a:schemeClr>
            </a:solidFill>
          </a:ln>
          <a:effectLst/>
        </c:spPr>
      </c:pivotFmt>
      <c:pivotFmt>
        <c:idx val="4"/>
        <c:spPr>
          <a:solidFill>
            <a:schemeClr val="tx1"/>
          </a:solidFill>
          <a:ln>
            <a:solidFill>
              <a:schemeClr val="tx1">
                <a:lumMod val="95000"/>
                <a:lumOff val="5000"/>
              </a:schemeClr>
            </a:solidFill>
          </a:ln>
          <a:effectLst/>
        </c:spPr>
      </c:pivotFmt>
      <c:pivotFmt>
        <c:idx val="5"/>
        <c:spPr>
          <a:solidFill>
            <a:schemeClr val="tx1"/>
          </a:solidFill>
          <a:ln>
            <a:solidFill>
              <a:schemeClr val="tx1">
                <a:lumMod val="95000"/>
                <a:lumOff val="5000"/>
              </a:schemeClr>
            </a:solidFill>
          </a:ln>
          <a:effectLst/>
        </c:spPr>
      </c:pivotFmt>
      <c:pivotFmt>
        <c:idx val="6"/>
        <c:spPr>
          <a:solidFill>
            <a:schemeClr val="tx1"/>
          </a:solidFill>
          <a:ln>
            <a:solidFill>
              <a:schemeClr val="tx1">
                <a:lumMod val="95000"/>
                <a:lumOff val="5000"/>
              </a:schemeClr>
            </a:solidFill>
          </a:ln>
          <a:effectLst/>
        </c:spPr>
      </c:pivotFmt>
      <c:pivotFmt>
        <c:idx val="7"/>
        <c:spPr>
          <a:solidFill>
            <a:schemeClr val="tx1"/>
          </a:solidFill>
          <a:ln>
            <a:solidFill>
              <a:schemeClr val="tx1">
                <a:lumMod val="95000"/>
                <a:lumOff val="5000"/>
              </a:schemeClr>
            </a:solidFill>
          </a:ln>
          <a:effectLst/>
        </c:spPr>
      </c:pivotFmt>
    </c:pivotFmts>
    <c:plotArea>
      <c:layout/>
      <c:barChart>
        <c:barDir val="bar"/>
        <c:grouping val="clustered"/>
        <c:varyColors val="0"/>
        <c:ser>
          <c:idx val="0"/>
          <c:order val="0"/>
          <c:tx>
            <c:strRef>
              <c:f>Reports!$B$27</c:f>
              <c:strCache>
                <c:ptCount val="1"/>
                <c:pt idx="0">
                  <c:v>Total</c:v>
                </c:pt>
              </c:strCache>
            </c:strRef>
          </c:tx>
          <c:spPr>
            <a:solidFill>
              <a:schemeClr val="tx1"/>
            </a:solidFill>
            <a:ln>
              <a:solidFill>
                <a:schemeClr val="tx1">
                  <a:lumMod val="95000"/>
                  <a:lumOff val="5000"/>
                </a:schemeClr>
              </a:solidFill>
            </a:ln>
            <a:effectLst/>
          </c:spPr>
          <c:invertIfNegative val="0"/>
          <c:dPt>
            <c:idx val="0"/>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4-6C9A-4217-8B30-2E6815638C74}"/>
              </c:ext>
            </c:extLst>
          </c:dPt>
          <c:dPt>
            <c:idx val="1"/>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3-6C9A-4217-8B30-2E6815638C74}"/>
              </c:ext>
            </c:extLst>
          </c:dPt>
          <c:dPt>
            <c:idx val="2"/>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2-6C9A-4217-8B30-2E6815638C74}"/>
              </c:ext>
            </c:extLst>
          </c:dPt>
          <c:dPt>
            <c:idx val="3"/>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1-6C9A-4217-8B30-2E6815638C74}"/>
              </c:ext>
            </c:extLst>
          </c:dPt>
          <c:dPt>
            <c:idx val="4"/>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0-6C9A-4217-8B30-2E6815638C74}"/>
              </c:ext>
            </c:extLst>
          </c:dPt>
          <c:cat>
            <c:strRef>
              <c:f>Reports!$A$28:$A$33</c:f>
              <c:strCache>
                <c:ptCount val="5"/>
                <c:pt idx="0">
                  <c:v>banner_partner</c:v>
                </c:pt>
                <c:pt idx="1">
                  <c:v>face_tier2</c:v>
                </c:pt>
                <c:pt idx="2">
                  <c:v>insta_blogger</c:v>
                </c:pt>
                <c:pt idx="3">
                  <c:v>insta_tier1</c:v>
                </c:pt>
                <c:pt idx="4">
                  <c:v>youtube_blogger</c:v>
                </c:pt>
              </c:strCache>
            </c:strRef>
          </c:cat>
          <c:val>
            <c:numRef>
              <c:f>Reports!$B$28:$B$33</c:f>
              <c:numCache>
                <c:formatCode>General</c:formatCode>
                <c:ptCount val="5"/>
                <c:pt idx="0">
                  <c:v>1566</c:v>
                </c:pt>
                <c:pt idx="1">
                  <c:v>688</c:v>
                </c:pt>
                <c:pt idx="2">
                  <c:v>1100</c:v>
                </c:pt>
                <c:pt idx="3">
                  <c:v>758</c:v>
                </c:pt>
                <c:pt idx="4">
                  <c:v>1904</c:v>
                </c:pt>
              </c:numCache>
            </c:numRef>
          </c:val>
          <c:extLst>
            <c:ext xmlns:c16="http://schemas.microsoft.com/office/drawing/2014/chart" uri="{C3380CC4-5D6E-409C-BE32-E72D297353CC}">
              <c16:uniqueId val="{00000000-CC93-4E3B-96B6-17A06FAAF9D5}"/>
            </c:ext>
          </c:extLst>
        </c:ser>
        <c:dLbls>
          <c:showLegendKey val="0"/>
          <c:showVal val="0"/>
          <c:showCatName val="0"/>
          <c:showSerName val="0"/>
          <c:showPercent val="0"/>
          <c:showBubbleSize val="0"/>
        </c:dLbls>
        <c:gapWidth val="219"/>
        <c:axId val="1591429568"/>
        <c:axId val="1591430048"/>
      </c:barChart>
      <c:catAx>
        <c:axId val="15914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1430048"/>
        <c:crosses val="autoZero"/>
        <c:auto val="1"/>
        <c:lblAlgn val="ctr"/>
        <c:lblOffset val="100"/>
        <c:noMultiLvlLbl val="0"/>
      </c:catAx>
      <c:valAx>
        <c:axId val="159143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14295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446483</xdr:colOff>
      <xdr:row>1</xdr:row>
      <xdr:rowOff>50364</xdr:rowOff>
    </xdr:from>
    <xdr:to>
      <xdr:col>25</xdr:col>
      <xdr:colOff>580428</xdr:colOff>
      <xdr:row>34</xdr:row>
      <xdr:rowOff>12842</xdr:rowOff>
    </xdr:to>
    <xdr:sp macro="" textlink="">
      <xdr:nvSpPr>
        <xdr:cNvPr id="2" name="Rectangle: Rounded Corners 1">
          <a:extLst>
            <a:ext uri="{FF2B5EF4-FFF2-40B4-BE49-F238E27FC236}">
              <a16:creationId xmlns:a16="http://schemas.microsoft.com/office/drawing/2014/main" id="{AC5CDD74-2CAF-9FAC-8A6B-997CE223539B}"/>
            </a:ext>
          </a:extLst>
        </xdr:cNvPr>
        <xdr:cNvSpPr/>
      </xdr:nvSpPr>
      <xdr:spPr>
        <a:xfrm>
          <a:off x="1048062" y="234180"/>
          <a:ext cx="14571840" cy="6028399"/>
        </a:xfrm>
        <a:prstGeom prst="roundRect">
          <a:avLst>
            <a:gd name="adj" fmla="val 9524"/>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193477</xdr:colOff>
      <xdr:row>1</xdr:row>
      <xdr:rowOff>148828</xdr:rowOff>
    </xdr:from>
    <xdr:to>
      <xdr:col>9</xdr:col>
      <xdr:colOff>312539</xdr:colOff>
      <xdr:row>6</xdr:row>
      <xdr:rowOff>29768</xdr:rowOff>
    </xdr:to>
    <xdr:sp macro="" textlink="">
      <xdr:nvSpPr>
        <xdr:cNvPr id="7" name="Rectangle: Rounded Corners 6">
          <a:extLst>
            <a:ext uri="{FF2B5EF4-FFF2-40B4-BE49-F238E27FC236}">
              <a16:creationId xmlns:a16="http://schemas.microsoft.com/office/drawing/2014/main" id="{5C7A0F39-3255-6F3D-E646-294652E8BA37}"/>
            </a:ext>
          </a:extLst>
        </xdr:cNvPr>
        <xdr:cNvSpPr/>
      </xdr:nvSpPr>
      <xdr:spPr>
        <a:xfrm>
          <a:off x="3867406" y="339328"/>
          <a:ext cx="1956026" cy="833440"/>
        </a:xfrm>
        <a:prstGeom prst="roundRect">
          <a:avLst/>
        </a:prstGeom>
        <a:solidFill>
          <a:schemeClr val="bg1">
            <a:lumMod val="95000"/>
          </a:schemeClr>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Total</a:t>
          </a:r>
          <a:r>
            <a:rPr lang="en-US" sz="1800" baseline="0">
              <a:solidFill>
                <a:schemeClr val="tx1"/>
              </a:solidFill>
            </a:rPr>
            <a:t>  Revenue</a:t>
          </a:r>
          <a:br>
            <a:rPr lang="en-US" sz="1800" baseline="0">
              <a:solidFill>
                <a:schemeClr val="tx1"/>
              </a:solidFill>
            </a:rPr>
          </a:br>
          <a:endParaRPr lang="ar-EG" sz="1800" b="0" i="0" u="none" strike="noStrike" baseline="0">
            <a:solidFill>
              <a:schemeClr val="tx1"/>
            </a:solidFill>
            <a:effectLst/>
            <a:latin typeface="+mn-lt"/>
            <a:ea typeface="+mn-ea"/>
            <a:cs typeface="+mn-cs"/>
          </a:endParaRPr>
        </a:p>
        <a:p>
          <a:pPr algn="ctr"/>
          <a:r>
            <a:rPr lang="en-US" sz="1800">
              <a:solidFill>
                <a:schemeClr val="tx1"/>
              </a:solidFill>
              <a:effectLst/>
            </a:rPr>
            <a:t> </a:t>
          </a:r>
          <a:endParaRPr lang="en-US" sz="1800">
            <a:solidFill>
              <a:schemeClr val="tx1"/>
            </a:solidFill>
          </a:endParaRPr>
        </a:p>
      </xdr:txBody>
    </xdr:sp>
    <xdr:clientData/>
  </xdr:twoCellAnchor>
  <xdr:twoCellAnchor editAs="oneCell">
    <xdr:from>
      <xdr:col>9</xdr:col>
      <xdr:colOff>133948</xdr:colOff>
      <xdr:row>2</xdr:row>
      <xdr:rowOff>104179</xdr:rowOff>
    </xdr:from>
    <xdr:to>
      <xdr:col>10</xdr:col>
      <xdr:colOff>89299</xdr:colOff>
      <xdr:row>5</xdr:row>
      <xdr:rowOff>89295</xdr:rowOff>
    </xdr:to>
    <xdr:pic>
      <xdr:nvPicPr>
        <xdr:cNvPr id="10" name="Picture 9">
          <a:extLst>
            <a:ext uri="{FF2B5EF4-FFF2-40B4-BE49-F238E27FC236}">
              <a16:creationId xmlns:a16="http://schemas.microsoft.com/office/drawing/2014/main" id="{B263C20A-D67B-14D6-CF01-A57E1AA142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25706" y="491132"/>
          <a:ext cx="565546" cy="565546"/>
        </a:xfrm>
        <a:prstGeom prst="rect">
          <a:avLst/>
        </a:prstGeom>
      </xdr:spPr>
    </xdr:pic>
    <xdr:clientData/>
  </xdr:twoCellAnchor>
  <xdr:twoCellAnchor>
    <xdr:from>
      <xdr:col>2</xdr:col>
      <xdr:colOff>401837</xdr:colOff>
      <xdr:row>2</xdr:row>
      <xdr:rowOff>148829</xdr:rowOff>
    </xdr:from>
    <xdr:to>
      <xdr:col>4</xdr:col>
      <xdr:colOff>535783</xdr:colOff>
      <xdr:row>6</xdr:row>
      <xdr:rowOff>74415</xdr:rowOff>
    </xdr:to>
    <xdr:sp macro="" textlink="">
      <xdr:nvSpPr>
        <xdr:cNvPr id="15" name="Rectangle: Rounded Corners 14">
          <a:extLst>
            <a:ext uri="{FF2B5EF4-FFF2-40B4-BE49-F238E27FC236}">
              <a16:creationId xmlns:a16="http://schemas.microsoft.com/office/drawing/2014/main" id="{1555173D-FE7C-C6BE-0E99-0A531165A7C1}"/>
            </a:ext>
          </a:extLst>
        </xdr:cNvPr>
        <xdr:cNvSpPr/>
      </xdr:nvSpPr>
      <xdr:spPr>
        <a:xfrm>
          <a:off x="1622228" y="535782"/>
          <a:ext cx="1354336" cy="699492"/>
        </a:xfrm>
        <a:prstGeom prst="roundRect">
          <a:avLst/>
        </a:prstGeom>
        <a:solidFill>
          <a:schemeClr val="bg2">
            <a:lumMod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Marketing</a:t>
          </a:r>
          <a:br>
            <a:rPr lang="en-US" sz="1600">
              <a:solidFill>
                <a:schemeClr val="tx1"/>
              </a:solidFill>
            </a:rPr>
          </a:br>
          <a:r>
            <a:rPr lang="en-US" sz="1600">
              <a:solidFill>
                <a:schemeClr val="tx1"/>
              </a:solidFill>
            </a:rPr>
            <a:t>Dashboard</a:t>
          </a:r>
        </a:p>
      </xdr:txBody>
    </xdr:sp>
    <xdr:clientData/>
  </xdr:twoCellAnchor>
  <xdr:twoCellAnchor>
    <xdr:from>
      <xdr:col>10</xdr:col>
      <xdr:colOff>287734</xdr:colOff>
      <xdr:row>1</xdr:row>
      <xdr:rowOff>148828</xdr:rowOff>
    </xdr:from>
    <xdr:to>
      <xdr:col>13</xdr:col>
      <xdr:colOff>406796</xdr:colOff>
      <xdr:row>6</xdr:row>
      <xdr:rowOff>29768</xdr:rowOff>
    </xdr:to>
    <xdr:sp macro="" textlink="">
      <xdr:nvSpPr>
        <xdr:cNvPr id="16" name="Rectangle: Rounded Corners 15">
          <a:extLst>
            <a:ext uri="{FF2B5EF4-FFF2-40B4-BE49-F238E27FC236}">
              <a16:creationId xmlns:a16="http://schemas.microsoft.com/office/drawing/2014/main" id="{40B1F191-43E7-4C72-8CA8-FA5E25160357}"/>
            </a:ext>
          </a:extLst>
        </xdr:cNvPr>
        <xdr:cNvSpPr/>
      </xdr:nvSpPr>
      <xdr:spPr>
        <a:xfrm>
          <a:off x="6389687" y="342305"/>
          <a:ext cx="1949648" cy="848322"/>
        </a:xfrm>
        <a:prstGeom prst="roundRect">
          <a:avLst/>
        </a:prstGeom>
        <a:solidFill>
          <a:schemeClr val="bg1">
            <a:lumMod val="95000"/>
          </a:schemeClr>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a:solidFill>
                <a:schemeClr val="tx1"/>
              </a:solidFill>
              <a:latin typeface="+mn-lt"/>
              <a:ea typeface="+mn-ea"/>
              <a:cs typeface="+mn-cs"/>
            </a:rPr>
            <a:t>Total Cost</a:t>
          </a:r>
          <a:br>
            <a:rPr lang="en-US" sz="1800">
              <a:solidFill>
                <a:schemeClr val="tx1"/>
              </a:solidFill>
              <a:latin typeface="+mn-lt"/>
              <a:ea typeface="+mn-ea"/>
              <a:cs typeface="+mn-cs"/>
            </a:rPr>
          </a:br>
          <a:endParaRPr lang="en-US" sz="1800">
            <a:solidFill>
              <a:schemeClr val="tx1"/>
            </a:solidFill>
            <a:latin typeface="+mn-lt"/>
            <a:ea typeface="+mn-ea"/>
            <a:cs typeface="+mn-cs"/>
          </a:endParaRPr>
        </a:p>
      </xdr:txBody>
    </xdr:sp>
    <xdr:clientData/>
  </xdr:twoCellAnchor>
  <xdr:twoCellAnchor>
    <xdr:from>
      <xdr:col>14</xdr:col>
      <xdr:colOff>381991</xdr:colOff>
      <xdr:row>1</xdr:row>
      <xdr:rowOff>148828</xdr:rowOff>
    </xdr:from>
    <xdr:to>
      <xdr:col>17</xdr:col>
      <xdr:colOff>501053</xdr:colOff>
      <xdr:row>6</xdr:row>
      <xdr:rowOff>29768</xdr:rowOff>
    </xdr:to>
    <xdr:sp macro="" textlink="">
      <xdr:nvSpPr>
        <xdr:cNvPr id="17" name="Rectangle: Rounded Corners 16">
          <a:extLst>
            <a:ext uri="{FF2B5EF4-FFF2-40B4-BE49-F238E27FC236}">
              <a16:creationId xmlns:a16="http://schemas.microsoft.com/office/drawing/2014/main" id="{BD1388C7-C84C-4502-84B7-486B85200E19}"/>
            </a:ext>
          </a:extLst>
        </xdr:cNvPr>
        <xdr:cNvSpPr/>
      </xdr:nvSpPr>
      <xdr:spPr>
        <a:xfrm>
          <a:off x="8924725" y="342305"/>
          <a:ext cx="1949648" cy="848322"/>
        </a:xfrm>
        <a:prstGeom prst="roundRect">
          <a:avLst/>
        </a:prstGeom>
        <a:solidFill>
          <a:schemeClr val="bg1">
            <a:lumMod val="95000"/>
          </a:schemeClr>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a:solidFill>
                <a:schemeClr val="tx1"/>
              </a:solidFill>
              <a:latin typeface="+mn-lt"/>
              <a:ea typeface="+mn-ea"/>
              <a:cs typeface="+mn-cs"/>
            </a:rPr>
            <a:t>Total Orders</a:t>
          </a:r>
          <a:br>
            <a:rPr lang="en-US" sz="1800">
              <a:solidFill>
                <a:schemeClr val="tx1"/>
              </a:solidFill>
              <a:latin typeface="+mn-lt"/>
              <a:ea typeface="+mn-ea"/>
              <a:cs typeface="+mn-cs"/>
            </a:rPr>
          </a:br>
          <a:endParaRPr lang="en-US" sz="1800">
            <a:solidFill>
              <a:schemeClr val="tx1"/>
            </a:solidFill>
            <a:latin typeface="+mn-lt"/>
            <a:ea typeface="+mn-ea"/>
            <a:cs typeface="+mn-cs"/>
          </a:endParaRPr>
        </a:p>
      </xdr:txBody>
    </xdr:sp>
    <xdr:clientData/>
  </xdr:twoCellAnchor>
  <xdr:twoCellAnchor>
    <xdr:from>
      <xdr:col>18</xdr:col>
      <xdr:colOff>476248</xdr:colOff>
      <xdr:row>1</xdr:row>
      <xdr:rowOff>148828</xdr:rowOff>
    </xdr:from>
    <xdr:to>
      <xdr:col>21</xdr:col>
      <xdr:colOff>595310</xdr:colOff>
      <xdr:row>6</xdr:row>
      <xdr:rowOff>29768</xdr:rowOff>
    </xdr:to>
    <xdr:sp macro="" textlink="">
      <xdr:nvSpPr>
        <xdr:cNvPr id="18" name="Rectangle: Rounded Corners 17">
          <a:extLst>
            <a:ext uri="{FF2B5EF4-FFF2-40B4-BE49-F238E27FC236}">
              <a16:creationId xmlns:a16="http://schemas.microsoft.com/office/drawing/2014/main" id="{3B331D83-27C1-46BC-A607-EC3CFDB1FA88}"/>
            </a:ext>
          </a:extLst>
        </xdr:cNvPr>
        <xdr:cNvSpPr/>
      </xdr:nvSpPr>
      <xdr:spPr>
        <a:xfrm>
          <a:off x="11459764" y="342305"/>
          <a:ext cx="1949648" cy="848322"/>
        </a:xfrm>
        <a:prstGeom prst="roundRect">
          <a:avLst/>
        </a:prstGeom>
        <a:solidFill>
          <a:schemeClr val="bg1">
            <a:lumMod val="95000"/>
          </a:schemeClr>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a:solidFill>
                <a:schemeClr val="tx1"/>
              </a:solidFill>
              <a:latin typeface="+mn-lt"/>
              <a:ea typeface="+mn-ea"/>
              <a:cs typeface="+mn-cs"/>
            </a:rPr>
            <a:t>Profit</a:t>
          </a:r>
          <a:br>
            <a:rPr lang="en-US" sz="1800">
              <a:solidFill>
                <a:schemeClr val="tx1"/>
              </a:solidFill>
              <a:latin typeface="+mn-lt"/>
              <a:ea typeface="+mn-ea"/>
              <a:cs typeface="+mn-cs"/>
            </a:rPr>
          </a:br>
          <a:endParaRPr lang="en-US" sz="1800">
            <a:solidFill>
              <a:schemeClr val="tx1"/>
            </a:solidFill>
            <a:latin typeface="+mn-lt"/>
            <a:ea typeface="+mn-ea"/>
            <a:cs typeface="+mn-cs"/>
          </a:endParaRPr>
        </a:p>
      </xdr:txBody>
    </xdr:sp>
    <xdr:clientData/>
  </xdr:twoCellAnchor>
  <xdr:twoCellAnchor editAs="oneCell">
    <xdr:from>
      <xdr:col>21</xdr:col>
      <xdr:colOff>0</xdr:colOff>
      <xdr:row>2</xdr:row>
      <xdr:rowOff>29765</xdr:rowOff>
    </xdr:from>
    <xdr:to>
      <xdr:col>21</xdr:col>
      <xdr:colOff>580429</xdr:colOff>
      <xdr:row>5</xdr:row>
      <xdr:rowOff>29764</xdr:rowOff>
    </xdr:to>
    <xdr:pic>
      <xdr:nvPicPr>
        <xdr:cNvPr id="20" name="Picture 19">
          <a:extLst>
            <a:ext uri="{FF2B5EF4-FFF2-40B4-BE49-F238E27FC236}">
              <a16:creationId xmlns:a16="http://schemas.microsoft.com/office/drawing/2014/main" id="{C11D52C8-4168-FC88-50DB-DAF297D6DF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14102" y="416718"/>
          <a:ext cx="580429" cy="580429"/>
        </a:xfrm>
        <a:prstGeom prst="rect">
          <a:avLst/>
        </a:prstGeom>
      </xdr:spPr>
    </xdr:pic>
    <xdr:clientData/>
  </xdr:twoCellAnchor>
  <xdr:twoCellAnchor editAs="oneCell">
    <xdr:from>
      <xdr:col>16</xdr:col>
      <xdr:colOff>485760</xdr:colOff>
      <xdr:row>2</xdr:row>
      <xdr:rowOff>89297</xdr:rowOff>
    </xdr:from>
    <xdr:to>
      <xdr:col>17</xdr:col>
      <xdr:colOff>470877</xdr:colOff>
      <xdr:row>5</xdr:row>
      <xdr:rowOff>104179</xdr:rowOff>
    </xdr:to>
    <xdr:pic>
      <xdr:nvPicPr>
        <xdr:cNvPr id="22" name="Picture 21">
          <a:extLst>
            <a:ext uri="{FF2B5EF4-FFF2-40B4-BE49-F238E27FC236}">
              <a16:creationId xmlns:a16="http://schemas.microsoft.com/office/drawing/2014/main" id="{5F71F0A2-523B-2957-F29A-AE5373798B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248885" y="476250"/>
          <a:ext cx="595312" cy="595312"/>
        </a:xfrm>
        <a:prstGeom prst="rect">
          <a:avLst/>
        </a:prstGeom>
      </xdr:spPr>
    </xdr:pic>
    <xdr:clientData/>
  </xdr:twoCellAnchor>
  <xdr:twoCellAnchor>
    <xdr:from>
      <xdr:col>6</xdr:col>
      <xdr:colOff>89296</xdr:colOff>
      <xdr:row>7</xdr:row>
      <xdr:rowOff>104179</xdr:rowOff>
    </xdr:from>
    <xdr:to>
      <xdr:col>14</xdr:col>
      <xdr:colOff>238125</xdr:colOff>
      <xdr:row>19</xdr:row>
      <xdr:rowOff>119062</xdr:rowOff>
    </xdr:to>
    <xdr:sp macro="" textlink="">
      <xdr:nvSpPr>
        <xdr:cNvPr id="23" name="Rectangle: Rounded Corners 22">
          <a:extLst>
            <a:ext uri="{FF2B5EF4-FFF2-40B4-BE49-F238E27FC236}">
              <a16:creationId xmlns:a16="http://schemas.microsoft.com/office/drawing/2014/main" id="{A76F2723-FB08-B6E9-1374-2BFDB4EE04DE}"/>
            </a:ext>
          </a:extLst>
        </xdr:cNvPr>
        <xdr:cNvSpPr/>
      </xdr:nvSpPr>
      <xdr:spPr>
        <a:xfrm>
          <a:off x="3750468" y="1458515"/>
          <a:ext cx="5030391" cy="2336602"/>
        </a:xfrm>
        <a:prstGeom prst="roundRect">
          <a:avLst/>
        </a:prstGeom>
        <a:solidFill>
          <a:schemeClr val="bg1"/>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0" i="0" u="none" strike="noStrike">
            <a:solidFill>
              <a:schemeClr val="tx1"/>
            </a:solidFill>
            <a:effectLst/>
            <a:latin typeface="+mn-lt"/>
            <a:ea typeface="+mn-ea"/>
            <a:cs typeface="+mn-cs"/>
          </a:endParaRPr>
        </a:p>
      </xdr:txBody>
    </xdr:sp>
    <xdr:clientData/>
  </xdr:twoCellAnchor>
  <xdr:twoCellAnchor>
    <xdr:from>
      <xdr:col>6</xdr:col>
      <xdr:colOff>223241</xdr:colOff>
      <xdr:row>8</xdr:row>
      <xdr:rowOff>119060</xdr:rowOff>
    </xdr:from>
    <xdr:to>
      <xdr:col>14</xdr:col>
      <xdr:colOff>104180</xdr:colOff>
      <xdr:row>19</xdr:row>
      <xdr:rowOff>-1</xdr:rowOff>
    </xdr:to>
    <xdr:graphicFrame macro="">
      <xdr:nvGraphicFramePr>
        <xdr:cNvPr id="24" name="Chart 23">
          <a:extLst>
            <a:ext uri="{FF2B5EF4-FFF2-40B4-BE49-F238E27FC236}">
              <a16:creationId xmlns:a16="http://schemas.microsoft.com/office/drawing/2014/main" id="{75EACCBB-F567-481B-AFF5-D3D7AB958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580428</xdr:colOff>
      <xdr:row>7</xdr:row>
      <xdr:rowOff>104180</xdr:rowOff>
    </xdr:from>
    <xdr:to>
      <xdr:col>25</xdr:col>
      <xdr:colOff>312539</xdr:colOff>
      <xdr:row>19</xdr:row>
      <xdr:rowOff>119063</xdr:rowOff>
    </xdr:to>
    <xdr:sp macro="" textlink="">
      <xdr:nvSpPr>
        <xdr:cNvPr id="25" name="Rectangle: Rounded Corners 24">
          <a:extLst>
            <a:ext uri="{FF2B5EF4-FFF2-40B4-BE49-F238E27FC236}">
              <a16:creationId xmlns:a16="http://schemas.microsoft.com/office/drawing/2014/main" id="{88EFB091-CBD2-4408-829D-0A358FDB6C9B}"/>
            </a:ext>
          </a:extLst>
        </xdr:cNvPr>
        <xdr:cNvSpPr/>
      </xdr:nvSpPr>
      <xdr:spPr>
        <a:xfrm>
          <a:off x="9123162" y="1458516"/>
          <a:ext cx="6444260" cy="2336602"/>
        </a:xfrm>
        <a:prstGeom prst="roundRect">
          <a:avLst/>
        </a:prstGeom>
        <a:solidFill>
          <a:schemeClr val="bg1"/>
        </a:solidFill>
        <a:ln>
          <a:solidFill>
            <a:schemeClr val="accent1">
              <a:lumMod val="50000"/>
            </a:schemeClr>
          </a:solidFill>
        </a:ln>
        <a:effectLst>
          <a:outerShdw blurRad="50800" dist="254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0" i="0" u="none" strike="noStrike">
            <a:solidFill>
              <a:schemeClr val="tx1"/>
            </a:solidFill>
            <a:effectLst/>
            <a:latin typeface="+mn-lt"/>
            <a:ea typeface="+mn-ea"/>
            <a:cs typeface="+mn-cs"/>
          </a:endParaRPr>
        </a:p>
      </xdr:txBody>
    </xdr:sp>
    <xdr:clientData/>
  </xdr:twoCellAnchor>
  <xdr:twoCellAnchor>
    <xdr:from>
      <xdr:col>15</xdr:col>
      <xdr:colOff>163711</xdr:colOff>
      <xdr:row>8</xdr:row>
      <xdr:rowOff>29766</xdr:rowOff>
    </xdr:from>
    <xdr:to>
      <xdr:col>25</xdr:col>
      <xdr:colOff>119061</xdr:colOff>
      <xdr:row>18</xdr:row>
      <xdr:rowOff>133945</xdr:rowOff>
    </xdr:to>
    <xdr:graphicFrame macro="">
      <xdr:nvGraphicFramePr>
        <xdr:cNvPr id="26" name="Chart 25">
          <a:extLst>
            <a:ext uri="{FF2B5EF4-FFF2-40B4-BE49-F238E27FC236}">
              <a16:creationId xmlns:a16="http://schemas.microsoft.com/office/drawing/2014/main" id="{07D6A305-B80C-42DA-AB41-178291B7D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163709</xdr:colOff>
      <xdr:row>20</xdr:row>
      <xdr:rowOff>133946</xdr:rowOff>
    </xdr:from>
    <xdr:to>
      <xdr:col>25</xdr:col>
      <xdr:colOff>312537</xdr:colOff>
      <xdr:row>32</xdr:row>
      <xdr:rowOff>148829</xdr:rowOff>
    </xdr:to>
    <xdr:sp macro="" textlink="">
      <xdr:nvSpPr>
        <xdr:cNvPr id="5" name="Rectangle: Rounded Corners 4">
          <a:extLst>
            <a:ext uri="{FF2B5EF4-FFF2-40B4-BE49-F238E27FC236}">
              <a16:creationId xmlns:a16="http://schemas.microsoft.com/office/drawing/2014/main" id="{9F6CA00B-F40A-4017-B8FF-2027CE096FFE}"/>
            </a:ext>
          </a:extLst>
        </xdr:cNvPr>
        <xdr:cNvSpPr/>
      </xdr:nvSpPr>
      <xdr:spPr>
        <a:xfrm>
          <a:off x="10537029" y="4003477"/>
          <a:ext cx="5030391" cy="233660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401833</xdr:colOff>
      <xdr:row>21</xdr:row>
      <xdr:rowOff>89298</xdr:rowOff>
    </xdr:from>
    <xdr:to>
      <xdr:col>25</xdr:col>
      <xdr:colOff>89296</xdr:colOff>
      <xdr:row>32</xdr:row>
      <xdr:rowOff>79178</xdr:rowOff>
    </xdr:to>
    <xdr:graphicFrame macro="">
      <xdr:nvGraphicFramePr>
        <xdr:cNvPr id="6" name="Chart 5">
          <a:extLst>
            <a:ext uri="{FF2B5EF4-FFF2-40B4-BE49-F238E27FC236}">
              <a16:creationId xmlns:a16="http://schemas.microsoft.com/office/drawing/2014/main" id="{F1960A21-542A-4965-959E-9B963EBC6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89295</xdr:colOff>
      <xdr:row>20</xdr:row>
      <xdr:rowOff>133945</xdr:rowOff>
    </xdr:from>
    <xdr:to>
      <xdr:col>16</xdr:col>
      <xdr:colOff>446484</xdr:colOff>
      <xdr:row>32</xdr:row>
      <xdr:rowOff>148828</xdr:rowOff>
    </xdr:to>
    <xdr:sp macro="" textlink="">
      <xdr:nvSpPr>
        <xdr:cNvPr id="21" name="Rectangle: Rounded Corners 20">
          <a:extLst>
            <a:ext uri="{FF2B5EF4-FFF2-40B4-BE49-F238E27FC236}">
              <a16:creationId xmlns:a16="http://schemas.microsoft.com/office/drawing/2014/main" id="{896830C3-3D1F-4D28-A569-36CED9678A0D}"/>
            </a:ext>
          </a:extLst>
        </xdr:cNvPr>
        <xdr:cNvSpPr/>
      </xdr:nvSpPr>
      <xdr:spPr>
        <a:xfrm>
          <a:off x="3750467" y="4003476"/>
          <a:ext cx="6459142" cy="233660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357184</xdr:colOff>
      <xdr:row>21</xdr:row>
      <xdr:rowOff>14883</xdr:rowOff>
    </xdr:from>
    <xdr:to>
      <xdr:col>16</xdr:col>
      <xdr:colOff>163711</xdr:colOff>
      <xdr:row>32</xdr:row>
      <xdr:rowOff>59531</xdr:rowOff>
    </xdr:to>
    <xdr:graphicFrame macro="">
      <xdr:nvGraphicFramePr>
        <xdr:cNvPr id="27" name="Chart 26">
          <a:extLst>
            <a:ext uri="{FF2B5EF4-FFF2-40B4-BE49-F238E27FC236}">
              <a16:creationId xmlns:a16="http://schemas.microsoft.com/office/drawing/2014/main" id="{FFEAC8DC-2D76-46F8-9E40-BA6CEA506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50022</xdr:colOff>
      <xdr:row>11</xdr:row>
      <xdr:rowOff>96629</xdr:rowOff>
    </xdr:from>
    <xdr:to>
      <xdr:col>5</xdr:col>
      <xdr:colOff>510761</xdr:colOff>
      <xdr:row>28</xdr:row>
      <xdr:rowOff>76815</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3EF834BF-A152-6D7E-D11F-5145686516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4805" y="2222499"/>
              <a:ext cx="2282913" cy="3078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546716</xdr:colOff>
      <xdr:row>3</xdr:row>
      <xdr:rowOff>146804</xdr:rowOff>
    </xdr:from>
    <xdr:to>
      <xdr:col>8</xdr:col>
      <xdr:colOff>571501</xdr:colOff>
      <xdr:row>5</xdr:row>
      <xdr:rowOff>95250</xdr:rowOff>
    </xdr:to>
    <xdr:sp macro="" textlink="Reports!A15">
      <xdr:nvSpPr>
        <xdr:cNvPr id="4" name="Rectangle: Rounded Corners 3">
          <a:extLst>
            <a:ext uri="{FF2B5EF4-FFF2-40B4-BE49-F238E27FC236}">
              <a16:creationId xmlns:a16="http://schemas.microsoft.com/office/drawing/2014/main" id="{BA7E3D70-CE79-43EC-B154-E9D94484B3A4}"/>
            </a:ext>
          </a:extLst>
        </xdr:cNvPr>
        <xdr:cNvSpPr/>
      </xdr:nvSpPr>
      <xdr:spPr>
        <a:xfrm>
          <a:off x="4220645" y="718304"/>
          <a:ext cx="1249427" cy="329446"/>
        </a:xfrm>
        <a:prstGeom prst="roundRect">
          <a:avLst/>
        </a:prstGeom>
        <a:solidFill>
          <a:schemeClr val="bg1">
            <a:lumMod val="95000"/>
          </a:schemeClr>
        </a:solidFill>
        <a:ln>
          <a:solidFill>
            <a:schemeClr val="accent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601C94-AF60-4716-9B0E-BADF3A819AD6}" type="TxLink">
            <a:rPr lang="en-US" sz="1400" b="0" i="0" u="none" strike="noStrike">
              <a:solidFill>
                <a:srgbClr val="000000"/>
              </a:solidFill>
              <a:effectLst/>
              <a:latin typeface="Calibri"/>
              <a:cs typeface="Calibri"/>
            </a:rPr>
            <a:pPr algn="ctr"/>
            <a:t>$42,889,366</a:t>
          </a:fld>
          <a:endParaRPr lang="en-US" sz="1400">
            <a:solidFill>
              <a:schemeClr val="tx1"/>
            </a:solidFill>
          </a:endParaRPr>
        </a:p>
      </xdr:txBody>
    </xdr:sp>
    <xdr:clientData/>
  </xdr:twoCellAnchor>
  <xdr:twoCellAnchor>
    <xdr:from>
      <xdr:col>11</xdr:col>
      <xdr:colOff>35151</xdr:colOff>
      <xdr:row>3</xdr:row>
      <xdr:rowOff>138197</xdr:rowOff>
    </xdr:from>
    <xdr:to>
      <xdr:col>13</xdr:col>
      <xdr:colOff>59935</xdr:colOff>
      <xdr:row>5</xdr:row>
      <xdr:rowOff>86643</xdr:rowOff>
    </xdr:to>
    <xdr:sp macro="" textlink="Reports!E15">
      <xdr:nvSpPr>
        <xdr:cNvPr id="8" name="Rectangle: Rounded Corners 7">
          <a:extLst>
            <a:ext uri="{FF2B5EF4-FFF2-40B4-BE49-F238E27FC236}">
              <a16:creationId xmlns:a16="http://schemas.microsoft.com/office/drawing/2014/main" id="{678884D2-7CB3-40B2-A68E-1E77097A9D5C}"/>
            </a:ext>
          </a:extLst>
        </xdr:cNvPr>
        <xdr:cNvSpPr/>
      </xdr:nvSpPr>
      <xdr:spPr>
        <a:xfrm>
          <a:off x="6770687" y="709697"/>
          <a:ext cx="1249427" cy="329446"/>
        </a:xfrm>
        <a:prstGeom prst="roundRect">
          <a:avLst/>
        </a:prstGeom>
        <a:solidFill>
          <a:schemeClr val="bg1">
            <a:lumMod val="95000"/>
          </a:schemeClr>
        </a:solidFill>
        <a:ln>
          <a:solidFill>
            <a:schemeClr val="accent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447180-D492-4882-9F7E-F16F938AF660}" type="TxLink">
            <a:rPr lang="en-US" sz="1400" b="0" i="0" u="none" strike="noStrike">
              <a:solidFill>
                <a:srgbClr val="000000"/>
              </a:solidFill>
              <a:effectLst/>
              <a:latin typeface="Calibri"/>
              <a:cs typeface="Calibri"/>
            </a:rPr>
            <a:pPr algn="ctr"/>
            <a:t>$30,590,880</a:t>
          </a:fld>
          <a:endParaRPr lang="en-US" sz="1400">
            <a:solidFill>
              <a:schemeClr val="tx1"/>
            </a:solidFill>
          </a:endParaRPr>
        </a:p>
      </xdr:txBody>
    </xdr:sp>
    <xdr:clientData/>
  </xdr:twoCellAnchor>
  <xdr:twoCellAnchor>
    <xdr:from>
      <xdr:col>14</xdr:col>
      <xdr:colOff>447475</xdr:colOff>
      <xdr:row>3</xdr:row>
      <xdr:rowOff>151805</xdr:rowOff>
    </xdr:from>
    <xdr:to>
      <xdr:col>16</xdr:col>
      <xdr:colOff>472259</xdr:colOff>
      <xdr:row>5</xdr:row>
      <xdr:rowOff>100251</xdr:rowOff>
    </xdr:to>
    <xdr:sp macro="" textlink="Reports!C15">
      <xdr:nvSpPr>
        <xdr:cNvPr id="11" name="Rectangle: Rounded Corners 10">
          <a:extLst>
            <a:ext uri="{FF2B5EF4-FFF2-40B4-BE49-F238E27FC236}">
              <a16:creationId xmlns:a16="http://schemas.microsoft.com/office/drawing/2014/main" id="{27BFE0A7-3ABE-45A2-AF9F-10EEEE2FD70B}"/>
            </a:ext>
          </a:extLst>
        </xdr:cNvPr>
        <xdr:cNvSpPr/>
      </xdr:nvSpPr>
      <xdr:spPr>
        <a:xfrm>
          <a:off x="9019975" y="723305"/>
          <a:ext cx="1249427" cy="329446"/>
        </a:xfrm>
        <a:prstGeom prst="roundRect">
          <a:avLst/>
        </a:prstGeom>
        <a:solidFill>
          <a:schemeClr val="bg1">
            <a:lumMod val="95000"/>
          </a:schemeClr>
        </a:solidFill>
        <a:ln>
          <a:solidFill>
            <a:schemeClr val="accent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8984B98-7DE5-4A5D-937D-327199E74BB8}" type="TxLink">
            <a:rPr lang="en-US" sz="1400" b="0" i="0" u="none" strike="noStrike">
              <a:solidFill>
                <a:srgbClr val="000000"/>
              </a:solidFill>
              <a:effectLst/>
              <a:latin typeface="Calibri"/>
              <a:cs typeface="Calibri"/>
            </a:rPr>
            <a:pPr algn="ctr"/>
            <a:t>8043</a:t>
          </a:fld>
          <a:endParaRPr lang="en-US" sz="1400">
            <a:solidFill>
              <a:schemeClr val="tx1"/>
            </a:solidFill>
          </a:endParaRPr>
        </a:p>
      </xdr:txBody>
    </xdr:sp>
    <xdr:clientData/>
  </xdr:twoCellAnchor>
  <xdr:twoCellAnchor>
    <xdr:from>
      <xdr:col>18</xdr:col>
      <xdr:colOff>546835</xdr:colOff>
      <xdr:row>3</xdr:row>
      <xdr:rowOff>110983</xdr:rowOff>
    </xdr:from>
    <xdr:to>
      <xdr:col>20</xdr:col>
      <xdr:colOff>571619</xdr:colOff>
      <xdr:row>5</xdr:row>
      <xdr:rowOff>59429</xdr:rowOff>
    </xdr:to>
    <xdr:sp macro="" textlink="Reports!G15">
      <xdr:nvSpPr>
        <xdr:cNvPr id="12" name="Rectangle: Rounded Corners 11">
          <a:extLst>
            <a:ext uri="{FF2B5EF4-FFF2-40B4-BE49-F238E27FC236}">
              <a16:creationId xmlns:a16="http://schemas.microsoft.com/office/drawing/2014/main" id="{8F474CF1-3D09-45CF-8BA6-C3584352DE9D}"/>
            </a:ext>
          </a:extLst>
        </xdr:cNvPr>
        <xdr:cNvSpPr/>
      </xdr:nvSpPr>
      <xdr:spPr>
        <a:xfrm>
          <a:off x="11568621" y="682483"/>
          <a:ext cx="1249427" cy="329446"/>
        </a:xfrm>
        <a:prstGeom prst="roundRect">
          <a:avLst/>
        </a:prstGeom>
        <a:solidFill>
          <a:schemeClr val="bg1">
            <a:lumMod val="95000"/>
          </a:schemeClr>
        </a:solidFill>
        <a:ln>
          <a:solidFill>
            <a:schemeClr val="accent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DFF2425-9FA9-42B3-ABEC-8BE3BB9CDF4C}" type="TxLink">
            <a:rPr lang="en-US" sz="1400" b="0" i="0" u="none" strike="noStrike">
              <a:solidFill>
                <a:srgbClr val="000000"/>
              </a:solidFill>
              <a:effectLst/>
              <a:latin typeface="Calibri"/>
              <a:cs typeface="Calibri"/>
            </a:rPr>
            <a:pPr algn="ctr"/>
            <a:t>$12,298,486</a:t>
          </a:fld>
          <a:endParaRPr lang="en-US" sz="14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7777778" backgroundQuery="1" createdVersion="8" refreshedVersion="8" minRefreshableVersion="3" recordCount="0" supportSubquery="1" supportAdvancedDrill="1" xr:uid="{A950E256-D0C3-47B6-BB20-1FF4E563319A}">
  <cacheSource type="external" connectionId="2"/>
  <cacheFields count="2">
    <cacheField name="[Table1_1].[category].[category]" caption="category" numFmtId="0" hierarchy="3" level="1">
      <sharedItems count="4">
        <s v="Influencer"/>
        <s v="Media"/>
        <s v="Search"/>
        <s v="Social"/>
      </sharedItems>
    </cacheField>
    <cacheField name="[Measures].[Total Orders]" caption="Total Orders" numFmtId="0" hierarchy="21" level="32767"/>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oneField="1">
      <fieldsUsage count="1">
        <fieldUsage x="1"/>
      </fieldsUsage>
    </cacheHierarchy>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78240742" backgroundQuery="1" createdVersion="8" refreshedVersion="8" minRefreshableVersion="3" recordCount="0" supportSubquery="1" supportAdvancedDrill="1" xr:uid="{124BFA32-9D4F-4A5D-B76C-AEBF3C0DDB22}">
  <cacheSource type="external" connectionId="2"/>
  <cacheFields count="2">
    <cacheField name="[Table1_1].[category].[category]" caption="category" numFmtId="0" hierarchy="3" level="1">
      <sharedItems count="4">
        <s v="Influencer"/>
        <s v="Media"/>
        <s v="Search"/>
        <s v="Social"/>
      </sharedItems>
    </cacheField>
    <cacheField name="[Measures].[CPA]" caption="CPA" numFmtId="0" hierarchy="26" level="32767"/>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oneField="1">
      <fieldsUsage count="1">
        <fieldUsage x="1"/>
      </fieldsUsage>
    </cacheHierarchy>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78819443" backgroundQuery="1" createdVersion="8" refreshedVersion="8" minRefreshableVersion="3" recordCount="0" supportSubquery="1" supportAdvancedDrill="1" xr:uid="{BD4DD710-7B45-4E27-9130-5D06508C6BC1}">
  <cacheSource type="external" connectionId="2"/>
  <cacheFields count="5">
    <cacheField name="[Table1_1].[category].[category]" caption="category" numFmtId="0" hierarchy="3" level="1">
      <sharedItems count="4">
        <s v="Influencer"/>
        <s v="Media"/>
        <s v="Search"/>
        <s v="Social"/>
      </sharedItems>
    </cacheField>
    <cacheField name="[Measures].[Sum of impressions]" caption="Sum of impressions" numFmtId="0" hierarchy="34" level="32767"/>
    <cacheField name="[Measures].[Sum of clicks]" caption="Sum of clicks" numFmtId="0" hierarchy="35" level="32767"/>
    <cacheField name="[Measures].[Sum of leads]" caption="Sum of leads" numFmtId="0" hierarchy="36" level="32767"/>
    <cacheField name="[Measures].[Sum of orders]" caption="Sum of orders" numFmtId="0" hierarchy="32" level="32767"/>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79745374" backgroundQuery="1" createdVersion="8" refreshedVersion="8" minRefreshableVersion="3" recordCount="0" supportSubquery="1" supportAdvancedDrill="1" xr:uid="{8615EF8D-AC07-4646-B571-96DADD33A858}">
  <cacheSource type="external" connectionId="2"/>
  <cacheFields count="3">
    <cacheField name="[Table1_1].[campaign_name].[campaign_name]" caption="campaign_name" numFmtId="0" hierarchy="2" level="1">
      <sharedItems count="5">
        <s v="banner_partner"/>
        <s v="face_tier2"/>
        <s v="insta_blogger"/>
        <s v="insta_tier1"/>
        <s v="youtube_blogger"/>
      </sharedItems>
    </cacheField>
    <cacheField name="[Measures].[Total Orders]" caption="Total Orders" numFmtId="0" hierarchy="21" level="32767"/>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2" memberValueDatatype="130" unbalanced="0">
      <fieldsUsage count="2">
        <fieldUsage x="-1"/>
        <fieldUsage x="0"/>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oneField="1">
      <fieldsUsage count="1">
        <fieldUsage x="1"/>
      </fieldsUsage>
    </cacheHierarchy>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0208336" backgroundQuery="1" createdVersion="8" refreshedVersion="8" minRefreshableVersion="3" recordCount="0" supportSubquery="1" supportAdvancedDrill="1" xr:uid="{B94E4166-6EE5-44F1-A262-E950E0963360}">
  <cacheSource type="external" connectionId="2"/>
  <cacheFields count="2">
    <cacheField name="[Table1_1].[category].[category]" caption="category" numFmtId="0" hierarchy="3" level="1">
      <sharedItems count="4">
        <s v="Influencer"/>
        <s v="Media"/>
        <s v="Search"/>
        <s v="Social"/>
      </sharedItems>
    </cacheField>
    <cacheField name="[Measures].[ROI]" caption="ROI" numFmtId="0" hierarchy="15" level="32767"/>
  </cacheFields>
  <cacheHierarchies count="37">
    <cacheHierarchy uniqueName="[Table1_1].[id]" caption="id" attribute="1" defaultMemberUniqueName="[Table1_1].[id].[All]" allUniqueName="[Table1_1].[id].[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cacheHierarchy uniqueName="[Table1_1].[campaign_name]" caption="campaign_name" attribute="1" defaultMemberUniqueName="[Table1_1].[campaign_name].[All]" allUniqueName="[Table1_1].[campaign_name].[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2" memberValueDatatype="20" unbalanced="0"/>
    <cacheHierarchy uniqueName="[Table1_1].[mark_spent]" caption="mark_spent" attribute="1" defaultMemberUniqueName="[Table1_1].[mark_spent].[All]" allUniqueName="[Table1_1].[mark_spent].[All]" dimensionUniqueName="[Table1_1]" displayFolder="" count="2" memberValueDatatype="5" unbalanced="0"/>
    <cacheHierarchy uniqueName="[Table1_1].[clicks]" caption="clicks" attribute="1" defaultMemberUniqueName="[Table1_1].[clicks].[All]" allUniqueName="[Table1_1].[clicks].[All]" dimensionUniqueName="[Table1_1]" displayFolder="" count="2" memberValueDatatype="20" unbalanced="0"/>
    <cacheHierarchy uniqueName="[Table1_1].[leads]" caption="leads" attribute="1" defaultMemberUniqueName="[Table1_1].[leads].[All]" allUniqueName="[Table1_1].[leads].[All]" dimensionUniqueName="[Table1_1]" displayFolder="" count="2" memberValueDatatype="20" unbalanced="0"/>
    <cacheHierarchy uniqueName="[Table1_1].[orders]" caption="orders" attribute="1" defaultMemberUniqueName="[Table1_1].[orders].[All]" allUniqueName="[Table1_1].[orders].[All]" dimensionUniqueName="[Table1_1]" displayFolder="" count="2" memberValueDatatype="20" unbalanced="0"/>
    <cacheHierarchy uniqueName="[Table1_1].[revenue]" caption="revenue" attribute="1" defaultMemberUniqueName="[Table1_1].[revenue].[All]" allUniqueName="[Table1_1].[revenue].[All]" dimensionUniqueName="[Table1_1]" displayFolder="" count="2" memberValueDatatype="2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2"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oneField="1">
      <fieldsUsage count="1">
        <fieldUsage x="1"/>
      </fieldsUsage>
    </cacheHierarchy>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0787036" backgroundQuery="1" createdVersion="8" refreshedVersion="8" minRefreshableVersion="3" recordCount="0" supportSubquery="1" supportAdvancedDrill="1" xr:uid="{62C5A77C-ABB0-4AB6-9423-508EEB79EE2E}">
  <cacheSource type="external" connectionId="2"/>
  <cacheFields count="2">
    <cacheField name="[Table1_1].[category].[category]" caption="category" numFmtId="0" hierarchy="3" level="1">
      <sharedItems count="4">
        <s v="Influencer"/>
        <s v="Media"/>
        <s v="Search"/>
        <s v="Social"/>
      </sharedItems>
    </cacheField>
    <cacheField name="[Measures].[Total Revenue]" caption="Total Revenue" numFmtId="0" hierarchy="12" level="32767"/>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oneField="1">
      <fieldsUsage count="1">
        <fieldUsage x="1"/>
      </fieldsUsage>
    </cacheHierarchy>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1365744" backgroundQuery="1" createdVersion="8" refreshedVersion="8" minRefreshableVersion="3" recordCount="0" supportSubquery="1" supportAdvancedDrill="1" xr:uid="{907039D7-74C6-45C6-975E-2CA68EC1D326}">
  <cacheSource type="external" connectionId="2"/>
  <cacheFields count="2">
    <cacheField name="[Table1_1].[category].[category]" caption="category" numFmtId="0" hierarchy="3" level="1">
      <sharedItems count="4">
        <s v="Influencer"/>
        <s v="Media"/>
        <s v="Search"/>
        <s v="Social"/>
      </sharedItems>
    </cacheField>
    <cacheField name="[Measures].[Sum of mark_spent]" caption="Sum of mark_spent" numFmtId="0" hierarchy="33" level="32767"/>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171296" backgroundQuery="1" createdVersion="8" refreshedVersion="8" minRefreshableVersion="3" recordCount="0" supportSubquery="1" supportAdvancedDrill="1" xr:uid="{7D7B0515-104B-4A4A-870A-11FFF4379468}">
  <cacheSource type="external" connectionId="2"/>
  <cacheFields count="2">
    <cacheField name="[Measures].[Total Revenue]" caption="Total Revenue" numFmtId="0" hierarchy="12" level="32767"/>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oneField="1">
      <fieldsUsage count="1">
        <fieldUsage x="0"/>
      </fieldsUsage>
    </cacheHierarchy>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2060183" backgroundQuery="1" createdVersion="8" refreshedVersion="8" minRefreshableVersion="3" recordCount="0" supportSubquery="1" supportAdvancedDrill="1" xr:uid="{C76B4422-E894-4C0B-8F1B-3EC1E3439A26}">
  <cacheSource type="external" connectionId="2"/>
  <cacheFields count="2">
    <cacheField name="[Measures].[Total Orders]" caption="Total Orders" numFmtId="0" hierarchy="21" level="32767"/>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oneField="1">
      <fieldsUsage count="1">
        <fieldUsage x="0"/>
      </fieldsUsage>
    </cacheHierarchy>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2407407" backgroundQuery="1" createdVersion="8" refreshedVersion="8" minRefreshableVersion="3" recordCount="0" supportSubquery="1" supportAdvancedDrill="1" xr:uid="{E0527470-949C-4CBB-8028-37137959D9AE}">
  <cacheSource type="external" connectionId="2"/>
  <cacheFields count="2">
    <cacheField name="[Measures].[Total Spent]" caption="Total Spent" numFmtId="0" hierarchy="13" level="32767"/>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oneField="1">
      <fieldsUsage count="1">
        <fieldUsage x="0"/>
      </fieldsUsage>
    </cacheHierarchy>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2986114" backgroundQuery="1" createdVersion="8" refreshedVersion="8" minRefreshableVersion="3" recordCount="0" supportSubquery="1" supportAdvancedDrill="1" xr:uid="{30E89265-57EC-475A-8719-5EC183E64637}">
  <cacheSource type="external" connectionId="2"/>
  <cacheFields count="2">
    <cacheField name="[Measures].[Profit]" caption="Profit" numFmtId="0" hierarchy="14" level="32767"/>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0"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oneField="1">
      <fieldsUsage count="1">
        <fieldUsage x="0"/>
      </fieldsUsage>
    </cacheHierarchy>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29.615083680554" backgroundQuery="1" createdVersion="8" refreshedVersion="8" minRefreshableVersion="3" recordCount="0" supportSubquery="1" supportAdvancedDrill="1" xr:uid="{D2A67FF3-FF84-4E51-8941-0AF493A39226}">
  <cacheSource type="external" connectionId="2"/>
  <cacheFields count="4">
    <cacheField name="[Table1_1].[date].[date]" caption="date" numFmtId="0" hierarchy="1" level="1">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Measures].[Total Revenue]" caption="Total Revenue" numFmtId="0" hierarchy="12" level="32767"/>
    <cacheField name="[Table1_1].[date (Month)].[date (Month)]" caption="date (Month)" numFmtId="0" hierarchy="10" level="1">
      <sharedItems count="1">
        <s v="Feb"/>
      </sharedItems>
    </cacheField>
    <cacheField name="[Table1_1].[category].[category]" caption="category" numFmtId="0" hierarchy="3" level="1">
      <sharedItems containsSemiMixedTypes="0" containsNonDate="0" containsString="0"/>
    </cacheField>
  </cacheFields>
  <cacheHierarchies count="37">
    <cacheHierarchy uniqueName="[Table1_1].[id]" caption="id" attribute="1" defaultMemberUniqueName="[Table1_1].[id].[All]" allUniqueName="[Table1_1].[id].[All]" dimensionUniqueName="[Table1_1]" displayFolder="" count="0" memberValueDatatype="20" unbalanced="0"/>
    <cacheHierarchy uniqueName="[Table1_1].[date]" caption="date" attribute="1" time="1" defaultMemberUniqueName="[Table1_1].[date].[All]" allUniqueName="[Table1_1].[date].[All]" dimensionUniqueName="[Table1_1]" displayFolder="" count="2" memberValueDatatype="7" unbalanced="0">
      <fieldsUsage count="2">
        <fieldUsage x="-1"/>
        <fieldUsage x="0"/>
      </fieldsUsage>
    </cacheHierarchy>
    <cacheHierarchy uniqueName="[Table1_1].[campaign_name]" caption="campaign_name" attribute="1" defaultMemberUniqueName="[Table1_1].[campaign_name].[All]" allUniqueName="[Table1_1].[campaign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impressions]" caption="impressions" attribute="1" defaultMemberUniqueName="[Table1_1].[impressions].[All]" allUniqueName="[Table1_1].[impressions].[All]" dimensionUniqueName="[Table1_1]" displayFolder="" count="0" memberValueDatatype="20" unbalanced="0"/>
    <cacheHierarchy uniqueName="[Table1_1].[mark_spent]" caption="mark_spent" attribute="1" defaultMemberUniqueName="[Table1_1].[mark_spent].[All]" allUniqueName="[Table1_1].[mark_spent].[All]" dimensionUniqueName="[Table1_1]" displayFolder="" count="0" memberValueDatatype="5" unbalanced="0"/>
    <cacheHierarchy uniqueName="[Table1_1].[clicks]" caption="clicks" attribute="1" defaultMemberUniqueName="[Table1_1].[clicks].[All]" allUniqueName="[Table1_1].[clicks].[All]" dimensionUniqueName="[Table1_1]" displayFolder="" count="0" memberValueDatatype="20" unbalanced="0"/>
    <cacheHierarchy uniqueName="[Table1_1].[leads]" caption="leads" attribute="1" defaultMemberUniqueName="[Table1_1].[leads].[All]" allUniqueName="[Table1_1].[lead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20" unbalanced="0"/>
    <cacheHierarchy uniqueName="[Table1_1].[date (Month)]" caption="date (Month)" attribute="1" defaultMemberUniqueName="[Table1_1].[date (Month)].[All]" allUniqueName="[Table1_1].[date (Month)].[All]" dimensionUniqueName="[Table1_1]" displayFolder="" count="2" memberValueDatatype="130" unbalanced="0">
      <fieldsUsage count="2">
        <fieldUsage x="-1"/>
        <fieldUsage x="2"/>
      </fieldsUsage>
    </cacheHierarchy>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Total Revenue]" caption="Total Revenue" measure="1" displayFolder="" measureGroup="Table1_1" count="0" oneField="1">
      <fieldsUsage count="1">
        <fieldUsage x="1"/>
      </fieldsUsage>
    </cacheHierarchy>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8"/>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5"/>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4"/>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6"/>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em" refreshedDate="46102.910769328701" backgroundQuery="1" createdVersion="3" refreshedVersion="8" minRefreshableVersion="3" recordCount="0" supportSubquery="1" supportAdvancedDrill="1" xr:uid="{A15AA9B1-ECF4-4F75-92F9-A4DBBE688436}">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Measures]" caption="Measures" attribute="1" keyAttribute="1" defaultMemberUniqueName="[Measures].[__No measures defined]" dimensionUniqueName="[Measures]" displayFolder="" measures="1" count="1" memberValueDatatype="130" unbalanced="0"/>
    <cacheHierarchy uniqueName="[Table1_1].[id]" caption="id" attribute="1" defaultMemberUniqueName="[Table1_1].[id].[All]" allUniqueName="[Table1_1].[id].[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cacheHierarchy uniqueName="[Table1_1].[campaign_name]" caption="campaign_name" attribute="1" defaultMemberUniqueName="[Table1_1].[campaign_name].[All]" allUniqueName="[Table1_1].[campaign_name].[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impressions]" caption="impressions" attribute="1" defaultMemberUniqueName="[Table1_1].[impressions].[All]" allUniqueName="[Table1_1].[impressions].[All]" dimensionUniqueName="[Table1_1]" displayFolder="" count="2" memberValueDatatype="20" unbalanced="0"/>
    <cacheHierarchy uniqueName="[Table1_1].[mark_spent]" caption="mark_spent" attribute="1" defaultMemberUniqueName="[Table1_1].[mark_spent].[All]" allUniqueName="[Table1_1].[mark_spent].[All]" dimensionUniqueName="[Table1_1]" displayFolder="" count="2" memberValueDatatype="5" unbalanced="0"/>
    <cacheHierarchy uniqueName="[Table1_1].[clicks]" caption="clicks" attribute="1" defaultMemberUniqueName="[Table1_1].[clicks].[All]" allUniqueName="[Table1_1].[clicks].[All]" dimensionUniqueName="[Table1_1]" displayFolder="" count="2" memberValueDatatype="20" unbalanced="0"/>
    <cacheHierarchy uniqueName="[Table1_1].[leads]" caption="leads" attribute="1" defaultMemberUniqueName="[Table1_1].[leads].[All]" allUniqueName="[Table1_1].[leads].[All]" dimensionUniqueName="[Table1_1]" displayFolder="" count="2" memberValueDatatype="20" unbalanced="0"/>
    <cacheHierarchy uniqueName="[Table1_1].[orders]" caption="orders" attribute="1" defaultMemberUniqueName="[Table1_1].[orders].[All]" allUniqueName="[Table1_1].[orders].[All]" dimensionUniqueName="[Table1_1]" displayFolder="" count="2" memberValueDatatype="20" unbalanced="0"/>
    <cacheHierarchy uniqueName="[Table1_1].[revenue]" caption="revenue" attribute="1" defaultMemberUniqueName="[Table1_1].[revenue].[All]" allUniqueName="[Table1_1].[revenue].[All]" dimensionUniqueName="[Table1_1]" displayFolder="" count="2" memberValueDatatype="2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2" memberValueDatatype="20" unbalanced="0" hidden="1"/>
    <cacheHierarchy uniqueName="[Measures].[Total Revenue]" caption="Total Revenue" measure="1" displayFolder="" measureGroup="Table1_1" count="0"/>
    <cacheHierarchy uniqueName="[Measures].[Total Spent]" caption="Total Spent" measure="1" displayFolder="" measureGroup="Table1_1" count="0"/>
    <cacheHierarchy uniqueName="[Measures].[Profit]" caption="Profit" measure="1" displayFolder="" measureGroup="Table1_1" count="0"/>
    <cacheHierarchy uniqueName="[Measures].[ROI]" caption="ROI" measure="1" displayFolder="" measureGroup="Table1_1" count="0"/>
    <cacheHierarchy uniqueName="[Measures].[Total Cliks]" caption="Total Cliks" measure="1" displayFolder="" measureGroup="Table1_1" count="0"/>
    <cacheHierarchy uniqueName="[Measures].[Total Impression]" caption="Total Impression" measure="1" displayFolder="" measureGroup="Table1_1" count="0"/>
    <cacheHierarchy uniqueName="[Measures].[CTR]" caption="CTR" measure="1" displayFolder="" measureGroup="Table1_1" count="0"/>
    <cacheHierarchy uniqueName="[Measures].[CPC]" caption="CPC" measure="1" displayFolder="" measureGroup="Table1_1" count="0"/>
    <cacheHierarchy uniqueName="[Measures].[Total Leads]" caption="Total Leads" measure="1" displayFolder="" measureGroup="Table1_1" count="0"/>
    <cacheHierarchy uniqueName="[Measures].[Total Orders]" caption="Total Orders" measure="1" displayFolder="" measureGroup="Table1_1" count="0"/>
    <cacheHierarchy uniqueName="[Measures].[Load Conv Rate]" caption="Load Conv Rate" measure="1" displayFolder="" measureGroup="Table1_1" count="0"/>
    <cacheHierarchy uniqueName="[Measures].[Sales Conv Rate]" caption="Sales Conv Rate" measure="1" displayFolder="" measureGroup="Table1_1" count="0"/>
    <cacheHierarchy uniqueName="[Measures].[Overalll Conv Rate]" caption="Overalll Conv Rate" measure="1" displayFolder="" measureGroup="Table1_1" count="0"/>
    <cacheHierarchy uniqueName="[Measures].[CPL]" caption="CPL" measure="1" displayFolder="" measureGroup="Table1_1" count="0"/>
    <cacheHierarchy uniqueName="[Measures].[CPA]" caption="CPA" measure="1" displayFolder="" measureGroup="Table1_1" count="0"/>
    <cacheHierarchy uniqueName="[Measures].[Rev Per Clicks]" caption="Rev Per Clicks" measure="1" displayFolder="" measureGroup="Table1_1" count="0"/>
    <cacheHierarchy uniqueName="[Measures].[Rev Per Leads]" caption="Rev Per Leads" measure="1" displayFolder="" measureGroup="Table1_1" count="0"/>
    <cacheHierarchy uniqueName="[Measures].[AOV]" caption="AOV"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orders]" caption="Sum of orders" measure="1" displayFolder="" measureGroup="Table1_1" count="0" hidden="1">
      <extLst>
        <ext xmlns:x15="http://schemas.microsoft.com/office/spreadsheetml/2010/11/main" uri="{B97F6D7D-B522-45F9-BDA1-12C45D357490}">
          <x15:cacheHierarchy aggregatedColumn="9"/>
        </ext>
      </extLst>
    </cacheHierarchy>
    <cacheHierarchy uniqueName="[Measures].[Sum of mark_spent]" caption="Sum of mark_spent" measure="1" displayFolder="" measureGroup="Table1_1"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Table1_1" count="0" hidden="1">
      <extLst>
        <ext xmlns:x15="http://schemas.microsoft.com/office/spreadsheetml/2010/11/main" uri="{B97F6D7D-B522-45F9-BDA1-12C45D357490}">
          <x15:cacheHierarchy aggregatedColumn="5"/>
        </ext>
      </extLst>
    </cacheHierarchy>
    <cacheHierarchy uniqueName="[Measures].[Sum of clicks]" caption="Sum of clicks" measure="1" displayFolder="" measureGroup="Table1_1" count="0" hidden="1">
      <extLst>
        <ext xmlns:x15="http://schemas.microsoft.com/office/spreadsheetml/2010/11/main" uri="{B97F6D7D-B522-45F9-BDA1-12C45D357490}">
          <x15:cacheHierarchy aggregatedColumn="7"/>
        </ext>
      </extLst>
    </cacheHierarchy>
    <cacheHierarchy uniqueName="[Measures].[Sum of leads]" caption="Sum of leads"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licerData="1" pivotCacheId="825164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F33F5-EAC1-4815-8A14-C914338149D3}" name="PivotTable11" cacheId="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7:B3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4"/>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03A40-2BBE-477F-934D-E0299E63EA3A}" name="PivotTable9" cacheId="306" applyNumberFormats="0" applyBorderFormats="0" applyFontFormats="0" applyPatternFormats="0" applyAlignmentFormats="0" applyWidthHeightFormats="1" dataCaption="Values" tag="72ab84ea-597e-4b1b-8db8-72227e415965" updatedVersion="8" minRefreshableVersion="3" useAutoFormatting="1" subtotalHiddenItems="1" itemPrintTitles="1" createdVersion="8" indent="0" outline="1" outlineData="1" multipleFieldFilters="0" chartFormat="31">
  <location ref="L11:M41"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xis="axisRow" allDrilled="1" subtotalTop="0" showAll="0" dataSourceSort="1" defaultSubtotal="0">
      <items count="1">
        <item x="0"/>
      </items>
    </pivotField>
    <pivotField allDrilled="1" subtotalTop="0" showAll="0" dataSourceSort="1" defaultSubtotal="0" defaultAttributeDrillState="1"/>
  </pivotFields>
  <rowFields count="2">
    <field x="2"/>
    <field x="0"/>
  </rowFields>
  <rowItems count="3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3">
          <reference field="4294967294" count="1" selected="0">
            <x v="0"/>
          </reference>
          <reference field="0" count="1" selected="0">
            <x v="20"/>
          </reference>
          <reference field="2"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A2F18C-F3F1-4DD0-925A-27A33114BE8E}" name="PivotTable1" cacheId="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8:B2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4"/>
  </dataFields>
  <chartFormats count="5">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5" format="6">
      <pivotArea type="data" outline="0" fieldPosition="0">
        <references count="2">
          <reference field="4294967294" count="1" selected="0">
            <x v="0"/>
          </reference>
          <reference field="0" count="1" selected="0">
            <x v="2"/>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4157E1-D2D2-4A96-8F36-79B31C5981B4}" name="PivotTable4" cacheId="291" applyNumberFormats="0" applyBorderFormats="0" applyFontFormats="0" applyPatternFormats="0" applyAlignmentFormats="0" applyWidthHeightFormats="1" dataCaption="Values" tag="eb57d2a1-658a-42b9-9698-1155bd658f3b" updatedVersion="8" minRefreshableVersion="3" useAutoFormatting="1" subtotalHiddenItems="1" itemPrintTitles="1" createdVersion="8" indent="0" outline="1" outlineData="1" multipleFieldFilters="0">
  <location ref="P3:Q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mark_spent" fld="1" baseField="0" baseItem="0" numFmtId="164"/>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FA05D0-703F-4635-9BAE-452C6D14FF49}" name="PivotTable7" cacheId="300" applyNumberFormats="0" applyBorderFormats="0" applyFontFormats="0" applyPatternFormats="0" applyAlignmentFormats="0" applyWidthHeightFormats="1" dataCaption="Values" tag="0ee6c6c6-f634-4982-9600-7eafa3772e2f" updatedVersion="8" minRefreshableVersion="3" useAutoFormatting="1" subtotalHiddenItems="1" itemPrintTitles="1" createdVersion="8" indent="0" outline="1" outlineData="1" multipleFieldFilters="0">
  <location ref="E13:E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D1A55-4397-42AE-838D-5DC821AAD407}" name="PivotTable10" cacheId="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7:K22"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4">
    <i>
      <x/>
    </i>
    <i i="1">
      <x v="1"/>
    </i>
    <i i="2">
      <x v="2"/>
    </i>
    <i i="3">
      <x v="3"/>
    </i>
  </colItems>
  <dataFields count="4">
    <dataField name="Sum of impressions" fld="1" baseField="0" baseItem="0"/>
    <dataField name="Sum of clicks" fld="2" baseField="0" baseItem="0"/>
    <dataField name="Sum of leads" fld="3" baseField="0" baseItem="0"/>
    <dataField name="Sum of orders" fld="4"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DB5C8B-7DB5-4EEA-AF6C-8E667A69893F}" name="PivotTable3" cacheId="288" applyNumberFormats="0" applyBorderFormats="0" applyFontFormats="0" applyPatternFormats="0" applyAlignmentFormats="0" applyWidthHeightFormats="1" dataCaption="Values" tag="925bd36c-cad4-4970-a933-894979c193b8" updatedVersion="8" minRefreshableVersion="3" useAutoFormatting="1" subtotalHiddenItems="1" itemPrintTitles="1" createdVersion="8" indent="0" outline="1" outlineData="1" multipleFieldFilters="0">
  <location ref="K3:L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4"/>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8B7DA0-2611-4C41-8FFC-0CA5D652D763}" name="Category_Name" cacheId="273" applyNumberFormats="0" applyBorderFormats="0" applyFontFormats="0" applyPatternFormats="0" applyAlignmentFormats="0" applyWidthHeightFormats="1" dataCaption="Values" tag="0e1ed9d9-a6cc-4994-a17a-46f48035ad10" updatedVersion="8" minRefreshableVersion="3" useAutoFormatting="1" subtotalHiddenItems="1" itemPrintTitles="1" createdVersion="8" indent="0" outline="1" outlineData="1" multipleFieldFilters="0" chartFormat="6">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7C9AAF-54B0-4695-999C-865A2D037B8E}" name="PivotTable2" cacheId="285" applyNumberFormats="0" applyBorderFormats="0" applyFontFormats="0" applyPatternFormats="0" applyAlignmentFormats="0" applyWidthHeightFormats="1" dataCaption="Values" tag="dab71bec-9bfa-465b-a0e7-a3c63a6d8b3e" updatedVersion="8" minRefreshableVersion="3" useAutoFormatting="1" subtotalHiddenItems="1" itemPrintTitles="1" createdVersion="8" indent="0" outline="1" outlineData="1" multipleFieldFilters="0">
  <location ref="F3:G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9"/>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4F1844-9676-4E2E-9DFD-9F7B49EC20DC}" name="PivotTable8" cacheId="303" applyNumberFormats="0" applyBorderFormats="0" applyFontFormats="0" applyPatternFormats="0" applyAlignmentFormats="0" applyWidthHeightFormats="1" dataCaption="Values" tag="ad82daeb-06f2-4ff7-aa6a-e74047152b9c" updatedVersion="8" minRefreshableVersion="3" useAutoFormatting="1" subtotalHiddenItems="1" itemPrintTitles="1" createdVersion="8"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247EEC-182B-464F-9478-62B4596FCFC7}" name="PivotTable6" cacheId="297" applyNumberFormats="0" applyBorderFormats="0" applyFontFormats="0" applyPatternFormats="0" applyAlignmentFormats="0" applyWidthHeightFormats="1" dataCaption="Values" tag="4f14bc5d-1678-4e12-9343-65f082a530f0" updatedVersion="8" minRefreshableVersion="3" useAutoFormatting="1" subtotalHiddenItems="1" itemPrintTitles="1" createdVersion="8" indent="0" outline="1" outlineData="1" multipleFieldFilters="0">
  <location ref="C13:C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8C5B86-00AB-46C1-887F-3297F0561E95}" name="PivotTable5" cacheId="294" applyNumberFormats="0" applyBorderFormats="0" applyFontFormats="0" applyPatternFormats="0" applyAlignmentFormats="0" applyWidthHeightFormats="1" dataCaption="Values" tag="c016cded-5b50-4bb5-8131-3e85eb859bdf"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B74178-4C6E-488B-8DAB-9D8A1D719CF4}" autoFormatId="16" applyNumberFormats="0" applyBorderFormats="0" applyFontFormats="0" applyPatternFormats="0" applyAlignmentFormats="0" applyWidthHeightFormats="0">
  <queryTableRefresh nextId="11">
    <queryTableFields count="10">
      <queryTableField id="1" name="id" tableColumnId="1"/>
      <queryTableField id="2" name="date" tableColumnId="2"/>
      <queryTableField id="3" name="campaign_name" tableColumnId="3"/>
      <queryTableField id="4" name="category" tableColumnId="4"/>
      <queryTableField id="5" name="impressions" tableColumnId="5"/>
      <queryTableField id="6" name="mark_spent" tableColumnId="6"/>
      <queryTableField id="7" name="clicks" tableColumnId="7"/>
      <queryTableField id="8" name="leads" tableColumnId="8"/>
      <queryTableField id="9" name="orders" tableColumnId="9"/>
      <queryTableField id="10" name="revenu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2FBDC4-7210-4002-ADC2-85636BA80C1D}" sourceName="[Table1_1].[category]">
  <pivotTables>
    <pivotTable tabId="3" name="Category_Name"/>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825164076">
      <levels count="2">
        <level uniqueName="[Table1_1].[category].[(All)]" sourceCaption="(All)" count="0"/>
        <level uniqueName="[Table1_1].[category].[category]" sourceCaption="category" count="4">
          <ranges>
            <range startItem="0">
              <i n="[Table1_1].[category].&amp;[Influencer]" c="Influencer"/>
              <i n="[Table1_1].[category].&amp;[Media]" c="Media"/>
              <i n="[Table1_1].[category].&amp;[Search]" c="Search"/>
              <i n="[Table1_1].[category].&amp;[Social]" c="Social"/>
            </range>
          </ranges>
        </level>
      </levels>
      <selections count="1">
        <selection n="[Table1_1].[category].[All]"/>
      </selections>
    </olap>
  </data>
  <extLst>
    <x:ext xmlns:x15="http://schemas.microsoft.com/office/spreadsheetml/2010/11/main" uri="{470722E0-AACD-4C17-9CDC-17EF765DBC7E}">
      <x15:slicerCacheHideItemsWithNoData count="1">
        <x15:slicerCacheOlapLevelName uniqueName="[Table1_1].[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ABE7751-299C-44A3-8FB3-76091D728360}" cache="Slicer_category" caption="category" level="1" style="SlicerStyleOther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7B7233-F327-447A-A42A-84AC47D232A7}" name="Table1_1" displayName="Table1_1" ref="A1:J309" tableType="queryTable" totalsRowShown="0">
  <autoFilter ref="A1:J309" xr:uid="{C87B7233-F327-447A-A42A-84AC47D232A7}"/>
  <tableColumns count="10">
    <tableColumn id="1" xr3:uid="{6C4ED347-7A98-475F-9FB9-583D7F099531}" uniqueName="1" name="id" queryTableFieldId="1"/>
    <tableColumn id="2" xr3:uid="{0BE9758A-56EA-4AC1-88F9-9B3B5AC31C42}" uniqueName="2" name="date" queryTableFieldId="2" dataDxfId="4"/>
    <tableColumn id="3" xr3:uid="{E2457D5F-B03B-4670-A13C-61401CFD4D5B}" uniqueName="3" name="campaign_name" queryTableFieldId="3" dataDxfId="3"/>
    <tableColumn id="4" xr3:uid="{BE3FE2AE-9B82-4AA4-B4C8-A36C91F0819C}" uniqueName="4" name="category" queryTableFieldId="4" dataDxfId="2"/>
    <tableColumn id="5" xr3:uid="{556189D2-230D-43B2-9459-FDA3E10DE47F}" uniqueName="5" name="impressions" queryTableFieldId="5"/>
    <tableColumn id="6" xr3:uid="{AFF23976-A7C9-4395-8D7D-9CDAE7767A41}" uniqueName="6" name="mark_spent" queryTableFieldId="6"/>
    <tableColumn id="7" xr3:uid="{0110AB53-ADD2-4B64-A87C-DD5D2A9BF134}" uniqueName="7" name="clicks" queryTableFieldId="7"/>
    <tableColumn id="8" xr3:uid="{93230383-51AC-463C-BC55-797FCD4D4C99}" uniqueName="8" name="leads" queryTableFieldId="8"/>
    <tableColumn id="9" xr3:uid="{7581784F-70D5-419E-8D04-530EBF72DBF0}" uniqueName="9" name="orders" queryTableFieldId="9"/>
    <tableColumn id="10" xr3:uid="{BA516815-9C49-49D7-8F29-016A9D912A50}" uniqueName="10" name="revenue"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F022E-44E3-4E09-B63A-100BFB1679BF}" name="Table1" displayName="Table1" ref="A1:J309" totalsRowShown="0">
  <autoFilter ref="A1:J309" xr:uid="{794F022E-44E3-4E09-B63A-100BFB1679BF}"/>
  <tableColumns count="10">
    <tableColumn id="1" xr3:uid="{9E8ADC73-A71B-4254-BBBB-73F2F9A74FEE}" name="id"/>
    <tableColumn id="2" xr3:uid="{80E4A7D7-D936-4830-B501-C78FD048C12F}" name="date"/>
    <tableColumn id="3" xr3:uid="{73CDBA17-E136-41B6-881C-4D989EB14FD5}" name="campaign_name"/>
    <tableColumn id="4" xr3:uid="{C8261003-662E-4893-9026-473EC58FFA38}" name="category"/>
    <tableColumn id="5" xr3:uid="{080DEFCA-FD1F-4266-9935-9E06B4A3F336}" name="impressions"/>
    <tableColumn id="6" xr3:uid="{5227B188-8915-4BE3-966C-0EC09286423B}" name="mark_spent"/>
    <tableColumn id="7" xr3:uid="{DB2922D8-70DA-4DEA-A2FB-9B5B1F54ECFC}" name="clicks"/>
    <tableColumn id="8" xr3:uid="{E3E09468-8395-4AFF-A82D-78F97F5112EB}" name="leads"/>
    <tableColumn id="9" xr3:uid="{88FD7DDD-F131-41BF-A909-509FF933149A}" name="orders"/>
    <tableColumn id="10" xr3:uid="{DFB55FEA-36D6-4DAB-BCA9-02794957E9E7}" name="revenue"/>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BDFC-F19F-41F1-B9E7-998CF1F96FAF}">
  <dimension ref="A2:Q41"/>
  <sheetViews>
    <sheetView topLeftCell="A15" workbookViewId="0">
      <selection activeCell="H5" sqref="H5"/>
    </sheetView>
  </sheetViews>
  <sheetFormatPr defaultRowHeight="15" x14ac:dyDescent="0.25"/>
  <cols>
    <col min="1" max="1" width="13.85546875" bestFit="1" customWidth="1"/>
    <col min="2" max="3" width="11.85546875" bestFit="1" customWidth="1"/>
    <col min="4" max="4" width="12.5703125" customWidth="1"/>
    <col min="5" max="5" width="11.140625" bestFit="1" customWidth="1"/>
    <col min="6" max="6" width="13.140625" customWidth="1"/>
    <col min="7" max="7" width="11.140625" bestFit="1" customWidth="1"/>
    <col min="8" max="8" width="18.5703125" bestFit="1" customWidth="1"/>
    <col min="9" max="10" width="12.28515625" bestFit="1" customWidth="1"/>
    <col min="11" max="11" width="13.140625" bestFit="1" customWidth="1"/>
    <col min="12" max="12" width="13.42578125" bestFit="1" customWidth="1"/>
    <col min="13" max="13" width="13.85546875" bestFit="1" customWidth="1"/>
    <col min="14" max="15" width="8.7109375" bestFit="1" customWidth="1"/>
    <col min="16" max="16" width="13.140625" bestFit="1" customWidth="1"/>
    <col min="17" max="17" width="18.28515625" bestFit="1" customWidth="1"/>
    <col min="18" max="21" width="8.7109375" bestFit="1" customWidth="1"/>
    <col min="22" max="40" width="9.7109375" bestFit="1" customWidth="1"/>
    <col min="41" max="41" width="11.28515625" bestFit="1" customWidth="1"/>
  </cols>
  <sheetData>
    <row r="2" spans="1:17" ht="21" x14ac:dyDescent="0.35">
      <c r="A2" s="7" t="s">
        <v>39</v>
      </c>
      <c r="F2" s="7" t="s">
        <v>35</v>
      </c>
      <c r="K2" s="7" t="s">
        <v>38</v>
      </c>
      <c r="P2" s="7" t="s">
        <v>41</v>
      </c>
    </row>
    <row r="3" spans="1:17" x14ac:dyDescent="0.25">
      <c r="A3" s="2" t="s">
        <v>32</v>
      </c>
      <c r="B3" t="s">
        <v>34</v>
      </c>
      <c r="F3" s="2" t="s">
        <v>32</v>
      </c>
      <c r="G3" t="s">
        <v>35</v>
      </c>
      <c r="K3" s="2" t="s">
        <v>32</v>
      </c>
      <c r="L3" t="s">
        <v>37</v>
      </c>
      <c r="P3" s="2" t="s">
        <v>32</v>
      </c>
      <c r="Q3" t="s">
        <v>40</v>
      </c>
    </row>
    <row r="4" spans="1:17" x14ac:dyDescent="0.25">
      <c r="A4" s="3" t="s">
        <v>28</v>
      </c>
      <c r="B4" s="9">
        <v>3014</v>
      </c>
      <c r="F4" s="3" t="s">
        <v>28</v>
      </c>
      <c r="G4" s="6">
        <v>1.5429396439389609</v>
      </c>
      <c r="K4" s="3" t="s">
        <v>28</v>
      </c>
      <c r="L4" s="5">
        <v>21119887</v>
      </c>
      <c r="P4" s="3" t="s">
        <v>28</v>
      </c>
      <c r="Q4" s="5">
        <v>8305304.0800000001</v>
      </c>
    </row>
    <row r="5" spans="1:17" x14ac:dyDescent="0.25">
      <c r="A5" s="3" t="s">
        <v>31</v>
      </c>
      <c r="B5" s="9">
        <v>1566</v>
      </c>
      <c r="F5" s="3" t="s">
        <v>31</v>
      </c>
      <c r="G5" s="6">
        <v>0.22406168964072787</v>
      </c>
      <c r="K5" s="3" t="s">
        <v>31</v>
      </c>
      <c r="L5" s="5">
        <v>6152960</v>
      </c>
      <c r="P5" s="3" t="s">
        <v>31</v>
      </c>
      <c r="Q5" s="5">
        <v>5026674.76</v>
      </c>
    </row>
    <row r="6" spans="1:17" x14ac:dyDescent="0.25">
      <c r="A6" s="3" t="s">
        <v>30</v>
      </c>
      <c r="B6" s="9">
        <v>828</v>
      </c>
      <c r="F6" s="3" t="s">
        <v>30</v>
      </c>
      <c r="G6" s="6">
        <v>7.070423218434399E-2</v>
      </c>
      <c r="K6" s="3" t="s">
        <v>30</v>
      </c>
      <c r="L6" s="5">
        <v>3705065</v>
      </c>
      <c r="P6" s="3" t="s">
        <v>30</v>
      </c>
      <c r="Q6" s="5">
        <v>3460400.07</v>
      </c>
    </row>
    <row r="7" spans="1:17" x14ac:dyDescent="0.25">
      <c r="A7" s="3" t="s">
        <v>29</v>
      </c>
      <c r="B7" s="9">
        <v>2635</v>
      </c>
      <c r="F7" s="3" t="s">
        <v>29</v>
      </c>
      <c r="G7" s="6">
        <v>-0.13675738562530559</v>
      </c>
      <c r="K7" s="3" t="s">
        <v>29</v>
      </c>
      <c r="L7" s="5">
        <v>11911454</v>
      </c>
      <c r="P7" s="3" t="s">
        <v>29</v>
      </c>
      <c r="Q7" s="5">
        <v>13798500.91</v>
      </c>
    </row>
    <row r="8" spans="1:17" x14ac:dyDescent="0.25">
      <c r="A8" s="3" t="s">
        <v>33</v>
      </c>
      <c r="B8" s="9">
        <v>8043</v>
      </c>
      <c r="F8" s="3" t="s">
        <v>33</v>
      </c>
      <c r="G8" s="6">
        <v>0.40203113648138283</v>
      </c>
      <c r="K8" s="3" t="s">
        <v>33</v>
      </c>
      <c r="L8" s="5">
        <v>42889366</v>
      </c>
      <c r="P8" s="3" t="s">
        <v>33</v>
      </c>
      <c r="Q8" s="5">
        <v>30590879.82</v>
      </c>
    </row>
    <row r="11" spans="1:17" x14ac:dyDescent="0.25">
      <c r="L11" s="2" t="s">
        <v>32</v>
      </c>
      <c r="M11" t="s">
        <v>37</v>
      </c>
    </row>
    <row r="12" spans="1:17" x14ac:dyDescent="0.25">
      <c r="L12" s="3" t="s">
        <v>43</v>
      </c>
      <c r="M12" s="9"/>
    </row>
    <row r="13" spans="1:17" x14ac:dyDescent="0.25">
      <c r="A13" t="s">
        <v>37</v>
      </c>
      <c r="C13" t="s">
        <v>34</v>
      </c>
      <c r="E13" t="s">
        <v>36</v>
      </c>
      <c r="G13" t="s">
        <v>42</v>
      </c>
      <c r="L13" s="8">
        <v>44228</v>
      </c>
      <c r="M13" s="4">
        <v>182676</v>
      </c>
    </row>
    <row r="14" spans="1:17" x14ac:dyDescent="0.25">
      <c r="A14" s="5">
        <v>42889366</v>
      </c>
      <c r="C14" s="9">
        <v>8043</v>
      </c>
      <c r="E14" s="5">
        <v>30590879.82</v>
      </c>
      <c r="G14" s="5">
        <v>12298486.18</v>
      </c>
      <c r="L14" s="8">
        <v>44229</v>
      </c>
      <c r="M14" s="4">
        <v>316369</v>
      </c>
    </row>
    <row r="15" spans="1:17" x14ac:dyDescent="0.25">
      <c r="A15" s="5">
        <f>A14</f>
        <v>42889366</v>
      </c>
      <c r="C15" cm="1">
        <f t="array" ref="C15">C14:C14</f>
        <v>8043</v>
      </c>
      <c r="E15" s="5">
        <f>E14</f>
        <v>30590879.82</v>
      </c>
      <c r="G15" s="5">
        <f>G14</f>
        <v>12298486.18</v>
      </c>
      <c r="L15" s="8">
        <v>44230</v>
      </c>
      <c r="M15" s="4">
        <v>1583142</v>
      </c>
    </row>
    <row r="16" spans="1:17" x14ac:dyDescent="0.25">
      <c r="L16" s="8">
        <v>44231</v>
      </c>
      <c r="M16" s="4">
        <v>1633899</v>
      </c>
    </row>
    <row r="17" spans="1:13" x14ac:dyDescent="0.25">
      <c r="G17" s="2" t="s">
        <v>32</v>
      </c>
      <c r="H17" t="s">
        <v>45</v>
      </c>
      <c r="I17" t="s">
        <v>46</v>
      </c>
      <c r="J17" t="s">
        <v>47</v>
      </c>
      <c r="K17" t="s">
        <v>48</v>
      </c>
      <c r="L17" s="8">
        <v>44232</v>
      </c>
      <c r="M17" s="4">
        <v>2704723</v>
      </c>
    </row>
    <row r="18" spans="1:13" x14ac:dyDescent="0.25">
      <c r="A18" s="2" t="s">
        <v>32</v>
      </c>
      <c r="B18" t="s">
        <v>44</v>
      </c>
      <c r="D18" s="5"/>
      <c r="G18" s="3" t="s">
        <v>28</v>
      </c>
      <c r="H18" s="9">
        <v>77800724</v>
      </c>
      <c r="I18" s="9">
        <v>749973</v>
      </c>
      <c r="J18" s="9">
        <v>16939</v>
      </c>
      <c r="K18" s="9">
        <v>3014</v>
      </c>
      <c r="L18" s="8">
        <v>44233</v>
      </c>
      <c r="M18" s="4">
        <v>416199</v>
      </c>
    </row>
    <row r="19" spans="1:13" x14ac:dyDescent="0.25">
      <c r="A19" s="3" t="s">
        <v>28</v>
      </c>
      <c r="B19" s="5">
        <v>2755.5753417385536</v>
      </c>
      <c r="G19" s="3" t="s">
        <v>31</v>
      </c>
      <c r="H19" s="9">
        <v>1068337427</v>
      </c>
      <c r="I19" s="9">
        <v>420003</v>
      </c>
      <c r="J19" s="9">
        <v>10149</v>
      </c>
      <c r="K19" s="9">
        <v>1566</v>
      </c>
      <c r="L19" s="8">
        <v>44234</v>
      </c>
      <c r="M19" s="4">
        <v>434647</v>
      </c>
    </row>
    <row r="20" spans="1:13" x14ac:dyDescent="0.25">
      <c r="A20" s="3" t="s">
        <v>31</v>
      </c>
      <c r="B20" s="5">
        <v>3209.8817113665386</v>
      </c>
      <c r="G20" s="3" t="s">
        <v>30</v>
      </c>
      <c r="H20" s="9">
        <v>72298252</v>
      </c>
      <c r="I20" s="9">
        <v>330054</v>
      </c>
      <c r="J20" s="9">
        <v>7107</v>
      </c>
      <c r="K20" s="9">
        <v>828</v>
      </c>
      <c r="L20" s="8">
        <v>44235</v>
      </c>
      <c r="M20" s="4">
        <v>308655</v>
      </c>
    </row>
    <row r="21" spans="1:13" x14ac:dyDescent="0.25">
      <c r="A21" s="3" t="s">
        <v>30</v>
      </c>
      <c r="B21" s="5">
        <v>4179.2271376811595</v>
      </c>
      <c r="G21" s="3" t="s">
        <v>29</v>
      </c>
      <c r="H21" s="9">
        <v>359285996</v>
      </c>
      <c r="I21" s="9">
        <v>1499889</v>
      </c>
      <c r="J21" s="9">
        <v>31384</v>
      </c>
      <c r="K21" s="9">
        <v>2635</v>
      </c>
      <c r="L21" s="8">
        <v>44236</v>
      </c>
      <c r="M21" s="4">
        <v>437923</v>
      </c>
    </row>
    <row r="22" spans="1:13" x14ac:dyDescent="0.25">
      <c r="A22" s="3" t="s">
        <v>29</v>
      </c>
      <c r="B22" s="5">
        <v>5236.6227362428845</v>
      </c>
      <c r="G22" s="3" t="s">
        <v>33</v>
      </c>
      <c r="H22" s="9">
        <v>1577722399</v>
      </c>
      <c r="I22" s="9">
        <v>2999919</v>
      </c>
      <c r="J22" s="9">
        <v>65579</v>
      </c>
      <c r="K22" s="9">
        <v>8043</v>
      </c>
      <c r="L22" s="8">
        <v>44237</v>
      </c>
      <c r="M22" s="4">
        <v>811363</v>
      </c>
    </row>
    <row r="23" spans="1:13" x14ac:dyDescent="0.25">
      <c r="A23" s="3" t="s">
        <v>33</v>
      </c>
      <c r="B23" s="5">
        <v>3803.4166132040282</v>
      </c>
      <c r="L23" s="8">
        <v>44238</v>
      </c>
      <c r="M23" s="4">
        <v>1563209</v>
      </c>
    </row>
    <row r="24" spans="1:13" x14ac:dyDescent="0.25">
      <c r="L24" s="8">
        <v>44239</v>
      </c>
      <c r="M24" s="4">
        <v>1657464</v>
      </c>
    </row>
    <row r="25" spans="1:13" x14ac:dyDescent="0.25">
      <c r="E25" s="3"/>
      <c r="L25" s="8">
        <v>44240</v>
      </c>
      <c r="M25" s="4">
        <v>2802893</v>
      </c>
    </row>
    <row r="26" spans="1:13" x14ac:dyDescent="0.25">
      <c r="E26" s="3"/>
      <c r="L26" s="8">
        <v>44241</v>
      </c>
      <c r="M26" s="4">
        <v>2197128</v>
      </c>
    </row>
    <row r="27" spans="1:13" x14ac:dyDescent="0.25">
      <c r="A27" s="2" t="s">
        <v>32</v>
      </c>
      <c r="B27" t="s">
        <v>34</v>
      </c>
      <c r="E27" s="3"/>
      <c r="L27" s="8">
        <v>44242</v>
      </c>
      <c r="M27" s="4">
        <v>2795172</v>
      </c>
    </row>
    <row r="28" spans="1:13" x14ac:dyDescent="0.25">
      <c r="A28" s="3" t="s">
        <v>13</v>
      </c>
      <c r="B28" s="9">
        <v>1566</v>
      </c>
      <c r="E28" s="3"/>
      <c r="L28" s="8">
        <v>44243</v>
      </c>
      <c r="M28" s="4">
        <v>3620594</v>
      </c>
    </row>
    <row r="29" spans="1:13" x14ac:dyDescent="0.25">
      <c r="A29" s="3" t="s">
        <v>2</v>
      </c>
      <c r="B29" s="9">
        <v>688</v>
      </c>
      <c r="L29" s="8">
        <v>44244</v>
      </c>
      <c r="M29" s="4">
        <v>4139131</v>
      </c>
    </row>
    <row r="30" spans="1:13" x14ac:dyDescent="0.25">
      <c r="A30" s="3" t="s">
        <v>12</v>
      </c>
      <c r="B30" s="9">
        <v>1100</v>
      </c>
      <c r="L30" s="8">
        <v>44245</v>
      </c>
      <c r="M30" s="4">
        <v>2659560</v>
      </c>
    </row>
    <row r="31" spans="1:13" x14ac:dyDescent="0.25">
      <c r="A31" s="3" t="s">
        <v>8</v>
      </c>
      <c r="B31" s="9">
        <v>758</v>
      </c>
      <c r="L31" s="8">
        <v>44246</v>
      </c>
      <c r="M31" s="4">
        <v>4973240</v>
      </c>
    </row>
    <row r="32" spans="1:13" x14ac:dyDescent="0.25">
      <c r="A32" s="3" t="s">
        <v>6</v>
      </c>
      <c r="B32" s="9">
        <v>1904</v>
      </c>
      <c r="L32" s="8">
        <v>44247</v>
      </c>
      <c r="M32" s="4">
        <v>5261521</v>
      </c>
    </row>
    <row r="33" spans="1:13" x14ac:dyDescent="0.25">
      <c r="A33" s="3" t="s">
        <v>33</v>
      </c>
      <c r="B33" s="9">
        <v>6016</v>
      </c>
      <c r="L33" s="8">
        <v>44248</v>
      </c>
      <c r="M33" s="4">
        <v>436892</v>
      </c>
    </row>
    <row r="34" spans="1:13" x14ac:dyDescent="0.25">
      <c r="L34" s="8">
        <v>44249</v>
      </c>
      <c r="M34" s="4">
        <v>893154</v>
      </c>
    </row>
    <row r="35" spans="1:13" x14ac:dyDescent="0.25">
      <c r="L35" s="8">
        <v>44250</v>
      </c>
      <c r="M35" s="4">
        <v>162649</v>
      </c>
    </row>
    <row r="36" spans="1:13" x14ac:dyDescent="0.25">
      <c r="L36" s="8">
        <v>44251</v>
      </c>
      <c r="M36" s="4">
        <v>440159</v>
      </c>
    </row>
    <row r="37" spans="1:13" x14ac:dyDescent="0.25">
      <c r="L37" s="8">
        <v>44252</v>
      </c>
      <c r="M37" s="4">
        <v>99303</v>
      </c>
    </row>
    <row r="38" spans="1:13" x14ac:dyDescent="0.25">
      <c r="L38" s="8">
        <v>44253</v>
      </c>
      <c r="M38" s="4">
        <v>238748</v>
      </c>
    </row>
    <row r="39" spans="1:13" x14ac:dyDescent="0.25">
      <c r="L39" s="8">
        <v>44254</v>
      </c>
      <c r="M39" s="4">
        <v>42789</v>
      </c>
    </row>
    <row r="40" spans="1:13" x14ac:dyDescent="0.25">
      <c r="L40" s="8">
        <v>44255</v>
      </c>
      <c r="M40" s="4">
        <v>76164</v>
      </c>
    </row>
    <row r="41" spans="1:13" x14ac:dyDescent="0.25">
      <c r="L41" s="3" t="s">
        <v>33</v>
      </c>
      <c r="M41" s="4">
        <v>42889366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CE04-61E9-4B2C-9357-698D8BCE6A3C}">
  <dimension ref="A1"/>
  <sheetViews>
    <sheetView showGridLines="0" tabSelected="1" zoomScale="64" zoomScaleNormal="64" workbookViewId="0">
      <selection activeCell="A4" sqref="A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91C1-7EEF-41F4-890C-3A7C8B23C15E}">
  <dimension ref="A1:J309"/>
  <sheetViews>
    <sheetView workbookViewId="0">
      <selection activeCell="E6" sqref="E6"/>
    </sheetView>
  </sheetViews>
  <sheetFormatPr defaultRowHeight="15" x14ac:dyDescent="0.25"/>
  <cols>
    <col min="1" max="1" width="5" bestFit="1" customWidth="1"/>
    <col min="2" max="2" width="9.7109375" bestFit="1" customWidth="1"/>
    <col min="3" max="3" width="17.85546875" bestFit="1" customWidth="1"/>
    <col min="4" max="4" width="10.85546875" bestFit="1" customWidth="1"/>
    <col min="5" max="5" width="14" bestFit="1" customWidth="1"/>
    <col min="6" max="6" width="13.7109375" bestFit="1" customWidth="1"/>
    <col min="7" max="8" width="8" bestFit="1" customWidth="1"/>
    <col min="9" max="9" width="9" bestFit="1" customWidth="1"/>
    <col min="10" max="10" width="10.7109375" bestFit="1" customWidth="1"/>
    <col min="16" max="16" width="13.140625" bestFit="1" customWidth="1"/>
    <col min="17" max="17" width="15.140625" bestFit="1" customWidth="1"/>
    <col min="18" max="18" width="12.28515625" bestFit="1" customWidth="1"/>
    <col min="19" max="19" width="17.28515625" bestFit="1" customWidth="1"/>
  </cols>
  <sheetData>
    <row r="1" spans="1:10" x14ac:dyDescent="0.25">
      <c r="A1" t="s">
        <v>23</v>
      </c>
      <c r="B1" t="s">
        <v>24</v>
      </c>
      <c r="C1" t="s">
        <v>22</v>
      </c>
      <c r="D1" t="s">
        <v>21</v>
      </c>
      <c r="E1" t="s">
        <v>20</v>
      </c>
      <c r="F1" t="s">
        <v>19</v>
      </c>
      <c r="G1" t="s">
        <v>18</v>
      </c>
      <c r="H1" t="s">
        <v>17</v>
      </c>
      <c r="I1" t="s">
        <v>16</v>
      </c>
      <c r="J1" t="s">
        <v>15</v>
      </c>
    </row>
    <row r="2" spans="1:10" x14ac:dyDescent="0.25">
      <c r="A2">
        <v>1</v>
      </c>
      <c r="B2" s="1">
        <v>44228</v>
      </c>
      <c r="C2" t="s">
        <v>0</v>
      </c>
      <c r="D2" t="s">
        <v>29</v>
      </c>
      <c r="E2">
        <v>148263</v>
      </c>
      <c r="F2">
        <v>7307.37</v>
      </c>
      <c r="G2">
        <v>1210</v>
      </c>
      <c r="H2">
        <v>13</v>
      </c>
      <c r="I2">
        <v>1</v>
      </c>
      <c r="J2">
        <v>4981</v>
      </c>
    </row>
    <row r="3" spans="1:10" x14ac:dyDescent="0.25">
      <c r="A3">
        <v>2</v>
      </c>
      <c r="B3" s="1">
        <v>44228</v>
      </c>
      <c r="C3" t="s">
        <v>2</v>
      </c>
      <c r="D3" t="s">
        <v>29</v>
      </c>
      <c r="E3">
        <v>220688</v>
      </c>
      <c r="F3">
        <v>16300.2</v>
      </c>
      <c r="G3">
        <v>1640</v>
      </c>
      <c r="H3">
        <v>48</v>
      </c>
      <c r="I3">
        <v>3</v>
      </c>
      <c r="J3">
        <v>14962</v>
      </c>
    </row>
    <row r="4" spans="1:10" x14ac:dyDescent="0.25">
      <c r="A4">
        <v>3</v>
      </c>
      <c r="B4" s="1">
        <v>44228</v>
      </c>
      <c r="C4" t="s">
        <v>3</v>
      </c>
      <c r="D4" t="s">
        <v>30</v>
      </c>
      <c r="E4">
        <v>22850</v>
      </c>
      <c r="F4">
        <v>5221.6000000000004</v>
      </c>
      <c r="G4">
        <v>457</v>
      </c>
      <c r="H4">
        <v>9</v>
      </c>
      <c r="I4">
        <v>1</v>
      </c>
      <c r="J4">
        <v>7981</v>
      </c>
    </row>
    <row r="5" spans="1:10" x14ac:dyDescent="0.25">
      <c r="A5">
        <v>4</v>
      </c>
      <c r="B5" s="1">
        <v>44228</v>
      </c>
      <c r="C5" t="s">
        <v>5</v>
      </c>
      <c r="D5" t="s">
        <v>30</v>
      </c>
      <c r="E5">
        <v>147038</v>
      </c>
      <c r="F5">
        <v>6037</v>
      </c>
      <c r="G5">
        <v>1196</v>
      </c>
      <c r="H5">
        <v>24</v>
      </c>
      <c r="I5">
        <v>1</v>
      </c>
      <c r="J5">
        <v>2114</v>
      </c>
    </row>
    <row r="6" spans="1:10" x14ac:dyDescent="0.25">
      <c r="A6">
        <v>5</v>
      </c>
      <c r="B6" s="1">
        <v>44228</v>
      </c>
      <c r="D6" t="s">
        <v>28</v>
      </c>
      <c r="E6">
        <v>225800</v>
      </c>
      <c r="F6">
        <v>29962.2</v>
      </c>
      <c r="G6">
        <v>2258</v>
      </c>
      <c r="H6">
        <v>49</v>
      </c>
      <c r="I6">
        <v>10</v>
      </c>
      <c r="J6">
        <v>84490</v>
      </c>
    </row>
    <row r="7" spans="1:10" x14ac:dyDescent="0.25">
      <c r="A7">
        <v>6</v>
      </c>
      <c r="B7" s="1">
        <v>44228</v>
      </c>
      <c r="C7" t="s">
        <v>8</v>
      </c>
      <c r="D7" t="s">
        <v>29</v>
      </c>
      <c r="E7">
        <v>444857</v>
      </c>
      <c r="F7">
        <v>9540.01</v>
      </c>
      <c r="G7">
        <v>1342</v>
      </c>
      <c r="H7">
        <v>27</v>
      </c>
      <c r="I7">
        <v>3</v>
      </c>
      <c r="J7">
        <v>17943</v>
      </c>
    </row>
    <row r="8" spans="1:10" x14ac:dyDescent="0.25">
      <c r="A8">
        <v>7</v>
      </c>
      <c r="B8" s="1">
        <v>44228</v>
      </c>
      <c r="C8" t="s">
        <v>9</v>
      </c>
      <c r="D8" t="s">
        <v>29</v>
      </c>
      <c r="E8">
        <v>511200</v>
      </c>
      <c r="F8">
        <v>3648.9</v>
      </c>
      <c r="G8">
        <v>2556</v>
      </c>
      <c r="H8">
        <v>94</v>
      </c>
      <c r="I8">
        <v>1</v>
      </c>
      <c r="J8">
        <v>1981</v>
      </c>
    </row>
    <row r="9" spans="1:10" x14ac:dyDescent="0.25">
      <c r="A9">
        <v>8</v>
      </c>
      <c r="B9" s="1">
        <v>44228</v>
      </c>
      <c r="C9" t="s">
        <v>10</v>
      </c>
      <c r="D9" t="s">
        <v>29</v>
      </c>
      <c r="E9">
        <v>5544</v>
      </c>
      <c r="F9">
        <v>1293.55</v>
      </c>
      <c r="G9">
        <v>148</v>
      </c>
      <c r="H9">
        <v>3</v>
      </c>
      <c r="I9">
        <v>1</v>
      </c>
      <c r="J9">
        <v>4981</v>
      </c>
    </row>
    <row r="10" spans="1:10" x14ac:dyDescent="0.25">
      <c r="A10">
        <v>9</v>
      </c>
      <c r="B10" s="1">
        <v>44228</v>
      </c>
      <c r="C10" t="s">
        <v>11</v>
      </c>
      <c r="D10" t="s">
        <v>29</v>
      </c>
      <c r="E10">
        <v>56916</v>
      </c>
      <c r="F10">
        <v>16997.8</v>
      </c>
      <c r="G10">
        <v>596</v>
      </c>
      <c r="H10">
        <v>14</v>
      </c>
      <c r="I10">
        <v>2</v>
      </c>
      <c r="J10">
        <v>4162</v>
      </c>
    </row>
    <row r="11" spans="1:10" x14ac:dyDescent="0.25">
      <c r="A11">
        <v>10</v>
      </c>
      <c r="B11" s="1">
        <v>44228</v>
      </c>
      <c r="C11" t="s">
        <v>12</v>
      </c>
      <c r="D11" t="s">
        <v>28</v>
      </c>
      <c r="E11">
        <v>120436</v>
      </c>
      <c r="F11">
        <v>23604.1</v>
      </c>
      <c r="G11">
        <v>1498</v>
      </c>
      <c r="H11">
        <v>49</v>
      </c>
      <c r="I11">
        <v>7</v>
      </c>
      <c r="J11">
        <v>39081</v>
      </c>
    </row>
    <row r="12" spans="1:10" x14ac:dyDescent="0.25">
      <c r="A12">
        <v>11</v>
      </c>
      <c r="B12" s="1">
        <v>44228</v>
      </c>
      <c r="C12" t="s">
        <v>13</v>
      </c>
      <c r="D12" t="s">
        <v>31</v>
      </c>
      <c r="E12">
        <v>20900000</v>
      </c>
      <c r="F12">
        <v>931.99</v>
      </c>
      <c r="G12">
        <v>2090</v>
      </c>
      <c r="H12">
        <v>3</v>
      </c>
      <c r="I12">
        <v>0</v>
      </c>
      <c r="J12">
        <v>0</v>
      </c>
    </row>
    <row r="13" spans="1:10" x14ac:dyDescent="0.25">
      <c r="A13">
        <v>12</v>
      </c>
      <c r="B13" s="1">
        <v>44229</v>
      </c>
      <c r="C13" t="s">
        <v>0</v>
      </c>
      <c r="D13" t="s">
        <v>29</v>
      </c>
      <c r="E13">
        <v>478200</v>
      </c>
      <c r="F13">
        <v>18385.3</v>
      </c>
      <c r="G13">
        <v>2391</v>
      </c>
      <c r="H13">
        <v>48</v>
      </c>
      <c r="I13">
        <v>4</v>
      </c>
      <c r="J13">
        <v>17812</v>
      </c>
    </row>
    <row r="14" spans="1:10" x14ac:dyDescent="0.25">
      <c r="A14">
        <v>13</v>
      </c>
      <c r="B14" s="1">
        <v>44229</v>
      </c>
      <c r="C14" t="s">
        <v>2</v>
      </c>
      <c r="D14" t="s">
        <v>29</v>
      </c>
      <c r="E14">
        <v>957806</v>
      </c>
      <c r="F14">
        <v>2198.0500000000002</v>
      </c>
      <c r="G14">
        <v>3294</v>
      </c>
      <c r="H14">
        <v>10</v>
      </c>
      <c r="I14">
        <v>0</v>
      </c>
      <c r="J14">
        <v>0</v>
      </c>
    </row>
    <row r="15" spans="1:10" x14ac:dyDescent="0.25">
      <c r="A15">
        <v>14</v>
      </c>
      <c r="B15" s="1">
        <v>44229</v>
      </c>
      <c r="C15" t="s">
        <v>3</v>
      </c>
      <c r="D15" t="s">
        <v>30</v>
      </c>
      <c r="E15">
        <v>43806</v>
      </c>
      <c r="F15">
        <v>11446.7</v>
      </c>
      <c r="G15">
        <v>907</v>
      </c>
      <c r="H15">
        <v>18</v>
      </c>
      <c r="I15">
        <v>3</v>
      </c>
      <c r="J15">
        <v>23943</v>
      </c>
    </row>
    <row r="16" spans="1:10" x14ac:dyDescent="0.25">
      <c r="A16">
        <v>15</v>
      </c>
      <c r="B16" s="1">
        <v>44229</v>
      </c>
      <c r="C16" t="s">
        <v>5</v>
      </c>
      <c r="D16" t="s">
        <v>30</v>
      </c>
      <c r="E16">
        <v>314704</v>
      </c>
      <c r="F16">
        <v>15153.6</v>
      </c>
      <c r="G16">
        <v>2395</v>
      </c>
      <c r="H16">
        <v>39</v>
      </c>
      <c r="I16">
        <v>4</v>
      </c>
      <c r="J16">
        <v>12540</v>
      </c>
    </row>
    <row r="17" spans="1:10" x14ac:dyDescent="0.25">
      <c r="A17">
        <v>16</v>
      </c>
      <c r="B17" s="1">
        <v>44229</v>
      </c>
      <c r="C17" t="s">
        <v>6</v>
      </c>
      <c r="D17" t="s">
        <v>28</v>
      </c>
      <c r="E17">
        <v>449200</v>
      </c>
      <c r="F17">
        <v>42301.1</v>
      </c>
      <c r="G17">
        <v>4492</v>
      </c>
      <c r="H17">
        <v>85</v>
      </c>
      <c r="I17">
        <v>17</v>
      </c>
      <c r="J17">
        <v>149141</v>
      </c>
    </row>
    <row r="18" spans="1:10" x14ac:dyDescent="0.25">
      <c r="A18">
        <v>17</v>
      </c>
      <c r="B18" s="1">
        <v>44229</v>
      </c>
      <c r="C18" t="s">
        <v>8</v>
      </c>
      <c r="D18" t="s">
        <v>29</v>
      </c>
      <c r="E18">
        <v>540200</v>
      </c>
      <c r="F18">
        <v>29081.1</v>
      </c>
      <c r="G18">
        <v>2701</v>
      </c>
      <c r="H18">
        <v>54</v>
      </c>
      <c r="I18">
        <v>9</v>
      </c>
      <c r="J18">
        <v>45585</v>
      </c>
    </row>
    <row r="19" spans="1:10" x14ac:dyDescent="0.25">
      <c r="A19">
        <v>18</v>
      </c>
      <c r="B19" s="1">
        <v>44229</v>
      </c>
      <c r="C19" t="s">
        <v>9</v>
      </c>
      <c r="D19" t="s">
        <v>29</v>
      </c>
      <c r="E19">
        <v>1020800</v>
      </c>
      <c r="F19">
        <v>1421.34</v>
      </c>
      <c r="G19">
        <v>5104</v>
      </c>
      <c r="H19">
        <v>14</v>
      </c>
      <c r="I19">
        <v>0</v>
      </c>
      <c r="J19">
        <v>0</v>
      </c>
    </row>
    <row r="20" spans="1:10" x14ac:dyDescent="0.25">
      <c r="A20">
        <v>19</v>
      </c>
      <c r="B20" s="1">
        <v>44229</v>
      </c>
      <c r="C20" t="s">
        <v>10</v>
      </c>
      <c r="D20" t="s">
        <v>29</v>
      </c>
      <c r="E20">
        <v>10033</v>
      </c>
      <c r="F20">
        <v>169.75</v>
      </c>
      <c r="G20">
        <v>301</v>
      </c>
      <c r="H20">
        <v>0</v>
      </c>
      <c r="I20">
        <v>0</v>
      </c>
      <c r="J20">
        <v>0</v>
      </c>
    </row>
    <row r="21" spans="1:10" x14ac:dyDescent="0.25">
      <c r="A21">
        <v>20</v>
      </c>
      <c r="B21" s="1">
        <v>44229</v>
      </c>
      <c r="C21" t="s">
        <v>11</v>
      </c>
      <c r="D21" t="s">
        <v>29</v>
      </c>
      <c r="E21">
        <v>107553</v>
      </c>
      <c r="F21">
        <v>8829.07</v>
      </c>
      <c r="G21">
        <v>1196</v>
      </c>
      <c r="H21">
        <v>7</v>
      </c>
      <c r="I21">
        <v>1</v>
      </c>
      <c r="J21">
        <v>1129</v>
      </c>
    </row>
    <row r="22" spans="1:10" x14ac:dyDescent="0.25">
      <c r="A22">
        <v>21</v>
      </c>
      <c r="B22" s="1">
        <v>44229</v>
      </c>
      <c r="C22" t="s">
        <v>12</v>
      </c>
      <c r="D22" t="s">
        <v>28</v>
      </c>
      <c r="E22">
        <v>299600</v>
      </c>
      <c r="F22">
        <v>13919.1</v>
      </c>
      <c r="G22">
        <v>2996</v>
      </c>
      <c r="H22">
        <v>19</v>
      </c>
      <c r="I22">
        <v>3</v>
      </c>
      <c r="J22">
        <v>14466</v>
      </c>
    </row>
    <row r="23" spans="1:10" x14ac:dyDescent="0.25">
      <c r="A23">
        <v>22</v>
      </c>
      <c r="B23" s="1">
        <v>44229</v>
      </c>
      <c r="C23" t="s">
        <v>13</v>
      </c>
      <c r="D23" t="s">
        <v>31</v>
      </c>
      <c r="E23">
        <v>42000000</v>
      </c>
      <c r="F23">
        <v>46159.8</v>
      </c>
      <c r="G23">
        <v>4200</v>
      </c>
      <c r="H23">
        <v>92</v>
      </c>
      <c r="I23">
        <v>13</v>
      </c>
      <c r="J23">
        <v>51753</v>
      </c>
    </row>
    <row r="24" spans="1:10" x14ac:dyDescent="0.25">
      <c r="A24">
        <v>23</v>
      </c>
      <c r="B24" s="1">
        <v>44230</v>
      </c>
      <c r="C24" t="s">
        <v>0</v>
      </c>
      <c r="D24" t="s">
        <v>29</v>
      </c>
      <c r="E24">
        <v>2313889</v>
      </c>
      <c r="F24">
        <v>65284.4</v>
      </c>
      <c r="G24">
        <v>7197</v>
      </c>
      <c r="H24">
        <v>115</v>
      </c>
      <c r="I24">
        <v>13</v>
      </c>
      <c r="J24">
        <v>72527</v>
      </c>
    </row>
    <row r="25" spans="1:10" x14ac:dyDescent="0.25">
      <c r="A25">
        <v>24</v>
      </c>
      <c r="B25" s="1">
        <v>44230</v>
      </c>
      <c r="C25" t="s">
        <v>2</v>
      </c>
      <c r="D25" t="s">
        <v>29</v>
      </c>
      <c r="E25">
        <v>1105666</v>
      </c>
      <c r="F25">
        <v>78958.3</v>
      </c>
      <c r="G25">
        <v>9898</v>
      </c>
      <c r="H25">
        <v>226</v>
      </c>
      <c r="I25">
        <v>12</v>
      </c>
      <c r="J25">
        <v>59772</v>
      </c>
    </row>
    <row r="26" spans="1:10" x14ac:dyDescent="0.25">
      <c r="A26">
        <v>25</v>
      </c>
      <c r="B26" s="1">
        <v>44230</v>
      </c>
      <c r="C26" t="s">
        <v>3</v>
      </c>
      <c r="D26" t="s">
        <v>30</v>
      </c>
      <c r="E26">
        <v>134900</v>
      </c>
      <c r="F26">
        <v>77345.5</v>
      </c>
      <c r="G26">
        <v>2698</v>
      </c>
      <c r="H26">
        <v>84</v>
      </c>
      <c r="I26">
        <v>16</v>
      </c>
      <c r="J26">
        <v>115856</v>
      </c>
    </row>
    <row r="27" spans="1:10" x14ac:dyDescent="0.25">
      <c r="A27">
        <v>26</v>
      </c>
      <c r="B27" s="1">
        <v>44230</v>
      </c>
      <c r="C27" t="s">
        <v>5</v>
      </c>
      <c r="D27" t="s">
        <v>30</v>
      </c>
      <c r="E27">
        <v>4371854</v>
      </c>
      <c r="F27">
        <v>49498.9</v>
      </c>
      <c r="G27">
        <v>7207</v>
      </c>
      <c r="H27">
        <v>144</v>
      </c>
      <c r="I27">
        <v>13</v>
      </c>
      <c r="J27">
        <v>38753</v>
      </c>
    </row>
    <row r="28" spans="1:10" x14ac:dyDescent="0.25">
      <c r="A28">
        <v>27</v>
      </c>
      <c r="B28" s="1">
        <v>44230</v>
      </c>
      <c r="C28" t="s">
        <v>6</v>
      </c>
      <c r="D28" t="s">
        <v>28</v>
      </c>
      <c r="E28">
        <v>1035261</v>
      </c>
      <c r="F28">
        <v>189341</v>
      </c>
      <c r="G28">
        <v>13503</v>
      </c>
      <c r="H28">
        <v>455</v>
      </c>
      <c r="I28">
        <v>91</v>
      </c>
      <c r="J28">
        <v>772499</v>
      </c>
    </row>
    <row r="29" spans="1:10" x14ac:dyDescent="0.25">
      <c r="A29">
        <v>28</v>
      </c>
      <c r="B29" s="1">
        <v>44230</v>
      </c>
      <c r="C29" t="s">
        <v>8</v>
      </c>
      <c r="D29" t="s">
        <v>29</v>
      </c>
      <c r="E29">
        <v>1618600</v>
      </c>
      <c r="F29">
        <v>62509.8</v>
      </c>
      <c r="G29">
        <v>8093</v>
      </c>
      <c r="H29">
        <v>166</v>
      </c>
      <c r="I29">
        <v>15</v>
      </c>
      <c r="J29">
        <v>84600</v>
      </c>
    </row>
    <row r="30" spans="1:10" x14ac:dyDescent="0.25">
      <c r="A30">
        <v>29</v>
      </c>
      <c r="B30" s="1">
        <v>44230</v>
      </c>
      <c r="C30" t="s">
        <v>9</v>
      </c>
      <c r="D30" t="s">
        <v>29</v>
      </c>
      <c r="E30">
        <v>3059600</v>
      </c>
      <c r="F30">
        <v>94399.9</v>
      </c>
      <c r="G30">
        <v>15298</v>
      </c>
      <c r="H30">
        <v>592</v>
      </c>
      <c r="I30">
        <v>36</v>
      </c>
      <c r="J30">
        <v>104184</v>
      </c>
    </row>
    <row r="31" spans="1:10" x14ac:dyDescent="0.25">
      <c r="A31">
        <v>30</v>
      </c>
      <c r="B31" s="1">
        <v>44230</v>
      </c>
      <c r="C31" t="s">
        <v>10</v>
      </c>
      <c r="D31" t="s">
        <v>29</v>
      </c>
      <c r="E31">
        <v>29867</v>
      </c>
      <c r="F31">
        <v>5039.51</v>
      </c>
      <c r="G31">
        <v>896</v>
      </c>
      <c r="H31">
        <v>18</v>
      </c>
      <c r="I31">
        <v>4</v>
      </c>
      <c r="J31">
        <v>23560</v>
      </c>
    </row>
    <row r="32" spans="1:10" x14ac:dyDescent="0.25">
      <c r="A32">
        <v>31</v>
      </c>
      <c r="B32" s="1">
        <v>44230</v>
      </c>
      <c r="C32" t="s">
        <v>11</v>
      </c>
      <c r="D32" t="s">
        <v>29</v>
      </c>
      <c r="E32">
        <v>295009</v>
      </c>
      <c r="F32">
        <v>76716.399999999994</v>
      </c>
      <c r="G32">
        <v>3595</v>
      </c>
      <c r="H32">
        <v>72</v>
      </c>
      <c r="I32">
        <v>9</v>
      </c>
      <c r="J32">
        <v>5607</v>
      </c>
    </row>
    <row r="33" spans="1:10" x14ac:dyDescent="0.25">
      <c r="A33">
        <v>32</v>
      </c>
      <c r="B33" s="1">
        <v>44230</v>
      </c>
      <c r="C33" t="s">
        <v>12</v>
      </c>
      <c r="D33" t="s">
        <v>28</v>
      </c>
      <c r="E33">
        <v>667352</v>
      </c>
      <c r="F33">
        <v>194336</v>
      </c>
      <c r="G33">
        <v>8996</v>
      </c>
      <c r="H33">
        <v>342</v>
      </c>
      <c r="I33">
        <v>51</v>
      </c>
      <c r="J33">
        <v>254031</v>
      </c>
    </row>
    <row r="34" spans="1:10" x14ac:dyDescent="0.25">
      <c r="A34">
        <v>33</v>
      </c>
      <c r="B34" s="1">
        <v>44230</v>
      </c>
      <c r="C34" t="s">
        <v>13</v>
      </c>
      <c r="D34" t="s">
        <v>31</v>
      </c>
      <c r="E34">
        <v>125910000</v>
      </c>
      <c r="F34">
        <v>29378.3</v>
      </c>
      <c r="G34">
        <v>12591</v>
      </c>
      <c r="H34">
        <v>68</v>
      </c>
      <c r="I34">
        <v>13</v>
      </c>
      <c r="J34">
        <v>51753</v>
      </c>
    </row>
    <row r="35" spans="1:10" x14ac:dyDescent="0.25">
      <c r="A35">
        <v>34</v>
      </c>
      <c r="B35" s="1">
        <v>44231</v>
      </c>
      <c r="C35" t="s">
        <v>0</v>
      </c>
      <c r="D35" t="s">
        <v>29</v>
      </c>
      <c r="E35">
        <v>2475754</v>
      </c>
      <c r="F35">
        <v>173914</v>
      </c>
      <c r="G35">
        <v>9601</v>
      </c>
      <c r="H35">
        <v>192</v>
      </c>
      <c r="I35">
        <v>31</v>
      </c>
      <c r="J35">
        <v>154411</v>
      </c>
    </row>
    <row r="36" spans="1:10" x14ac:dyDescent="0.25">
      <c r="A36">
        <v>35</v>
      </c>
      <c r="B36" s="1">
        <v>44231</v>
      </c>
      <c r="C36" t="s">
        <v>2</v>
      </c>
      <c r="D36" t="s">
        <v>29</v>
      </c>
      <c r="E36">
        <v>4597702</v>
      </c>
      <c r="F36">
        <v>115389</v>
      </c>
      <c r="G36">
        <v>13206</v>
      </c>
      <c r="H36">
        <v>143</v>
      </c>
      <c r="I36">
        <v>17</v>
      </c>
      <c r="J36">
        <v>82909</v>
      </c>
    </row>
    <row r="37" spans="1:10" x14ac:dyDescent="0.25">
      <c r="A37">
        <v>36</v>
      </c>
      <c r="B37" s="1">
        <v>44231</v>
      </c>
      <c r="C37" t="s">
        <v>3</v>
      </c>
      <c r="D37" t="s">
        <v>30</v>
      </c>
      <c r="E37">
        <v>196484</v>
      </c>
      <c r="F37">
        <v>41269.599999999999</v>
      </c>
      <c r="G37">
        <v>3599</v>
      </c>
      <c r="H37">
        <v>55</v>
      </c>
      <c r="I37">
        <v>9</v>
      </c>
      <c r="J37">
        <v>68589</v>
      </c>
    </row>
    <row r="38" spans="1:10" x14ac:dyDescent="0.25">
      <c r="A38">
        <v>37</v>
      </c>
      <c r="B38" s="1">
        <v>44231</v>
      </c>
      <c r="C38" t="s">
        <v>5</v>
      </c>
      <c r="D38" t="s">
        <v>30</v>
      </c>
      <c r="E38">
        <v>1531679</v>
      </c>
      <c r="F38">
        <v>60108.800000000003</v>
      </c>
      <c r="G38">
        <v>9591</v>
      </c>
      <c r="H38">
        <v>234</v>
      </c>
      <c r="I38">
        <v>17</v>
      </c>
      <c r="J38">
        <v>58990</v>
      </c>
    </row>
    <row r="39" spans="1:10" x14ac:dyDescent="0.25">
      <c r="A39">
        <v>38</v>
      </c>
      <c r="B39" s="1">
        <v>44231</v>
      </c>
      <c r="C39" t="s">
        <v>6</v>
      </c>
      <c r="D39" t="s">
        <v>28</v>
      </c>
      <c r="E39">
        <v>2120555</v>
      </c>
      <c r="F39">
        <v>185263</v>
      </c>
      <c r="G39">
        <v>17993</v>
      </c>
      <c r="H39">
        <v>445</v>
      </c>
      <c r="I39">
        <v>89</v>
      </c>
      <c r="J39">
        <v>624958</v>
      </c>
    </row>
    <row r="40" spans="1:10" x14ac:dyDescent="0.25">
      <c r="A40">
        <v>39</v>
      </c>
      <c r="B40" s="1">
        <v>44231</v>
      </c>
      <c r="C40" t="s">
        <v>8</v>
      </c>
      <c r="D40" t="s">
        <v>29</v>
      </c>
      <c r="E40">
        <v>1322751</v>
      </c>
      <c r="F40">
        <v>104028</v>
      </c>
      <c r="G40">
        <v>10794</v>
      </c>
      <c r="H40">
        <v>238</v>
      </c>
      <c r="I40">
        <v>27</v>
      </c>
      <c r="J40">
        <v>179037</v>
      </c>
    </row>
    <row r="41" spans="1:10" x14ac:dyDescent="0.25">
      <c r="A41">
        <v>40</v>
      </c>
      <c r="B41" s="1">
        <v>44231</v>
      </c>
      <c r="C41" t="s">
        <v>9</v>
      </c>
      <c r="D41" t="s">
        <v>29</v>
      </c>
      <c r="E41">
        <v>3008227</v>
      </c>
      <c r="F41">
        <v>40119.199999999997</v>
      </c>
      <c r="G41">
        <v>20392</v>
      </c>
      <c r="H41">
        <v>408</v>
      </c>
      <c r="I41">
        <v>12</v>
      </c>
      <c r="J41">
        <v>23772</v>
      </c>
    </row>
    <row r="42" spans="1:10" x14ac:dyDescent="0.25">
      <c r="A42">
        <v>41</v>
      </c>
      <c r="B42" s="1">
        <v>44231</v>
      </c>
      <c r="C42" t="s">
        <v>10</v>
      </c>
      <c r="D42" t="s">
        <v>29</v>
      </c>
      <c r="E42">
        <v>43160</v>
      </c>
      <c r="F42">
        <v>885.75</v>
      </c>
      <c r="G42">
        <v>1194</v>
      </c>
      <c r="H42">
        <v>4</v>
      </c>
      <c r="I42">
        <v>1</v>
      </c>
      <c r="J42">
        <v>5287</v>
      </c>
    </row>
    <row r="43" spans="1:10" x14ac:dyDescent="0.25">
      <c r="A43">
        <v>42</v>
      </c>
      <c r="B43" s="1">
        <v>44231</v>
      </c>
      <c r="C43" t="s">
        <v>11</v>
      </c>
      <c r="D43" t="s">
        <v>29</v>
      </c>
      <c r="E43">
        <v>432611</v>
      </c>
      <c r="F43">
        <v>120335</v>
      </c>
      <c r="G43">
        <v>4807</v>
      </c>
      <c r="H43">
        <v>71</v>
      </c>
      <c r="I43">
        <v>13</v>
      </c>
      <c r="J43">
        <v>6864</v>
      </c>
    </row>
    <row r="44" spans="1:10" x14ac:dyDescent="0.25">
      <c r="A44">
        <v>43</v>
      </c>
      <c r="B44" s="1">
        <v>44231</v>
      </c>
      <c r="C44" t="s">
        <v>12</v>
      </c>
      <c r="D44" t="s">
        <v>28</v>
      </c>
      <c r="E44">
        <v>1199300</v>
      </c>
      <c r="F44">
        <v>149279</v>
      </c>
      <c r="G44">
        <v>11993</v>
      </c>
      <c r="H44">
        <v>267</v>
      </c>
      <c r="I44">
        <v>38</v>
      </c>
      <c r="J44">
        <v>224542</v>
      </c>
    </row>
    <row r="45" spans="1:10" x14ac:dyDescent="0.25">
      <c r="A45">
        <v>44</v>
      </c>
      <c r="B45" s="1">
        <v>44231</v>
      </c>
      <c r="C45" t="s">
        <v>13</v>
      </c>
      <c r="D45" t="s">
        <v>31</v>
      </c>
      <c r="E45">
        <v>41924802</v>
      </c>
      <c r="F45">
        <v>177746</v>
      </c>
      <c r="G45">
        <v>16806</v>
      </c>
      <c r="H45">
        <v>336</v>
      </c>
      <c r="I45">
        <v>60</v>
      </c>
      <c r="J45">
        <v>204540</v>
      </c>
    </row>
    <row r="46" spans="1:10" x14ac:dyDescent="0.25">
      <c r="A46">
        <v>45</v>
      </c>
      <c r="B46" s="1">
        <v>44232</v>
      </c>
      <c r="C46" t="s">
        <v>0</v>
      </c>
      <c r="D46" t="s">
        <v>29</v>
      </c>
      <c r="E46">
        <v>3462883</v>
      </c>
      <c r="F46">
        <v>90691.7</v>
      </c>
      <c r="G46">
        <v>11997</v>
      </c>
      <c r="H46">
        <v>143</v>
      </c>
      <c r="I46">
        <v>17</v>
      </c>
      <c r="J46">
        <v>84677</v>
      </c>
    </row>
    <row r="47" spans="1:10" x14ac:dyDescent="0.25">
      <c r="A47">
        <v>46</v>
      </c>
      <c r="B47" s="1">
        <v>44232</v>
      </c>
      <c r="C47" t="s">
        <v>2</v>
      </c>
      <c r="D47" t="s">
        <v>29</v>
      </c>
      <c r="E47">
        <v>3299600</v>
      </c>
      <c r="F47">
        <v>261047</v>
      </c>
      <c r="G47">
        <v>16498</v>
      </c>
      <c r="H47">
        <v>330</v>
      </c>
      <c r="I47">
        <v>42</v>
      </c>
      <c r="J47">
        <v>209202</v>
      </c>
    </row>
    <row r="48" spans="1:10" x14ac:dyDescent="0.25">
      <c r="A48">
        <v>47</v>
      </c>
      <c r="B48" s="1">
        <v>44232</v>
      </c>
      <c r="C48" t="s">
        <v>3</v>
      </c>
      <c r="D48" t="s">
        <v>30</v>
      </c>
      <c r="E48">
        <v>236719</v>
      </c>
      <c r="F48">
        <v>96930.6</v>
      </c>
      <c r="G48">
        <v>4504</v>
      </c>
      <c r="H48">
        <v>151</v>
      </c>
      <c r="I48">
        <v>23</v>
      </c>
      <c r="J48">
        <v>177882</v>
      </c>
    </row>
    <row r="49" spans="1:10" x14ac:dyDescent="0.25">
      <c r="A49">
        <v>48</v>
      </c>
      <c r="B49" s="1">
        <v>44232</v>
      </c>
      <c r="C49" t="s">
        <v>5</v>
      </c>
      <c r="D49" t="s">
        <v>30</v>
      </c>
      <c r="E49">
        <v>9914040</v>
      </c>
      <c r="F49">
        <v>56875.199999999997</v>
      </c>
      <c r="G49">
        <v>11993</v>
      </c>
      <c r="H49">
        <v>139</v>
      </c>
      <c r="I49">
        <v>14</v>
      </c>
      <c r="J49">
        <v>49644</v>
      </c>
    </row>
    <row r="50" spans="1:10" x14ac:dyDescent="0.25">
      <c r="A50">
        <v>49</v>
      </c>
      <c r="B50" s="1">
        <v>44232</v>
      </c>
      <c r="C50" t="s">
        <v>6</v>
      </c>
      <c r="D50" t="s">
        <v>28</v>
      </c>
      <c r="E50">
        <v>1965108</v>
      </c>
      <c r="F50">
        <v>442617</v>
      </c>
      <c r="G50">
        <v>22507</v>
      </c>
      <c r="H50">
        <v>731</v>
      </c>
      <c r="I50">
        <v>146</v>
      </c>
      <c r="J50">
        <v>1165230</v>
      </c>
    </row>
    <row r="51" spans="1:10" x14ac:dyDescent="0.25">
      <c r="A51">
        <v>50</v>
      </c>
      <c r="B51" s="1">
        <v>44232</v>
      </c>
      <c r="C51" t="s">
        <v>8</v>
      </c>
      <c r="D51" t="s">
        <v>29</v>
      </c>
      <c r="E51">
        <v>7485780</v>
      </c>
      <c r="F51">
        <v>258306</v>
      </c>
      <c r="G51">
        <v>13498</v>
      </c>
      <c r="H51">
        <v>526</v>
      </c>
      <c r="I51">
        <v>76</v>
      </c>
      <c r="J51">
        <v>454556</v>
      </c>
    </row>
    <row r="52" spans="1:10" x14ac:dyDescent="0.25">
      <c r="A52">
        <v>51</v>
      </c>
      <c r="B52" s="1">
        <v>44232</v>
      </c>
      <c r="C52" t="s">
        <v>9</v>
      </c>
      <c r="D52" t="s">
        <v>29</v>
      </c>
      <c r="E52">
        <v>5100600</v>
      </c>
      <c r="F52">
        <v>13588.8</v>
      </c>
      <c r="G52">
        <v>25503</v>
      </c>
      <c r="H52">
        <v>765</v>
      </c>
      <c r="I52">
        <v>4</v>
      </c>
      <c r="J52">
        <v>7924</v>
      </c>
    </row>
    <row r="53" spans="1:10" x14ac:dyDescent="0.25">
      <c r="A53">
        <v>52</v>
      </c>
      <c r="B53" s="1">
        <v>44232</v>
      </c>
      <c r="C53" t="s">
        <v>10</v>
      </c>
      <c r="D53" t="s">
        <v>29</v>
      </c>
      <c r="E53">
        <v>48954</v>
      </c>
      <c r="F53">
        <v>6790.74</v>
      </c>
      <c r="G53">
        <v>1505</v>
      </c>
      <c r="H53">
        <v>30</v>
      </c>
      <c r="I53">
        <v>5</v>
      </c>
      <c r="J53">
        <v>27060</v>
      </c>
    </row>
    <row r="54" spans="1:10" x14ac:dyDescent="0.25">
      <c r="A54">
        <v>53</v>
      </c>
      <c r="B54" s="1">
        <v>44232</v>
      </c>
      <c r="C54" t="s">
        <v>11</v>
      </c>
      <c r="D54" t="s">
        <v>29</v>
      </c>
      <c r="E54">
        <v>600400</v>
      </c>
      <c r="F54">
        <v>192789</v>
      </c>
      <c r="G54">
        <v>6004</v>
      </c>
      <c r="H54">
        <v>120</v>
      </c>
      <c r="I54">
        <v>21</v>
      </c>
      <c r="J54">
        <v>9492</v>
      </c>
    </row>
    <row r="55" spans="1:10" x14ac:dyDescent="0.25">
      <c r="A55">
        <v>54</v>
      </c>
      <c r="B55" s="1">
        <v>44232</v>
      </c>
      <c r="C55" t="s">
        <v>12</v>
      </c>
      <c r="D55" t="s">
        <v>28</v>
      </c>
      <c r="E55">
        <v>2153303</v>
      </c>
      <c r="F55">
        <v>36431.699999999997</v>
      </c>
      <c r="G55">
        <v>15003</v>
      </c>
      <c r="H55">
        <v>51</v>
      </c>
      <c r="I55">
        <v>8</v>
      </c>
      <c r="J55">
        <v>47816</v>
      </c>
    </row>
    <row r="56" spans="1:10" x14ac:dyDescent="0.25">
      <c r="A56">
        <v>55</v>
      </c>
      <c r="B56" s="1">
        <v>44232</v>
      </c>
      <c r="C56" t="s">
        <v>13</v>
      </c>
      <c r="D56" t="s">
        <v>31</v>
      </c>
      <c r="E56">
        <v>8238872</v>
      </c>
      <c r="F56">
        <v>427922</v>
      </c>
      <c r="G56">
        <v>20997</v>
      </c>
      <c r="H56">
        <v>796</v>
      </c>
      <c r="I56">
        <v>119</v>
      </c>
      <c r="J56">
        <v>471240</v>
      </c>
    </row>
    <row r="57" spans="1:10" x14ac:dyDescent="0.25">
      <c r="A57">
        <v>56</v>
      </c>
      <c r="B57" s="1">
        <v>44233</v>
      </c>
      <c r="C57" t="s">
        <v>0</v>
      </c>
      <c r="D57" t="s">
        <v>29</v>
      </c>
      <c r="E57">
        <v>310024</v>
      </c>
      <c r="F57">
        <v>40407.9</v>
      </c>
      <c r="G57">
        <v>2391</v>
      </c>
      <c r="H57">
        <v>76</v>
      </c>
      <c r="I57">
        <v>9</v>
      </c>
      <c r="J57">
        <v>46152</v>
      </c>
    </row>
    <row r="58" spans="1:10" x14ac:dyDescent="0.25">
      <c r="A58">
        <v>57</v>
      </c>
      <c r="B58" s="1">
        <v>44233</v>
      </c>
      <c r="C58" t="s">
        <v>2</v>
      </c>
      <c r="D58" t="s">
        <v>29</v>
      </c>
      <c r="E58">
        <v>448321</v>
      </c>
      <c r="F58">
        <v>62272.6</v>
      </c>
      <c r="G58">
        <v>3302</v>
      </c>
      <c r="H58">
        <v>108</v>
      </c>
      <c r="I58">
        <v>9</v>
      </c>
      <c r="J58">
        <v>44829</v>
      </c>
    </row>
    <row r="59" spans="1:10" x14ac:dyDescent="0.25">
      <c r="A59">
        <v>58</v>
      </c>
      <c r="B59" s="1">
        <v>44233</v>
      </c>
      <c r="C59" t="s">
        <v>3</v>
      </c>
      <c r="D59" t="s">
        <v>30</v>
      </c>
      <c r="E59">
        <v>44950</v>
      </c>
      <c r="F59">
        <v>6768.87</v>
      </c>
      <c r="G59">
        <v>899</v>
      </c>
      <c r="H59">
        <v>13</v>
      </c>
      <c r="I59">
        <v>1</v>
      </c>
      <c r="J59">
        <v>8136</v>
      </c>
    </row>
    <row r="60" spans="1:10" x14ac:dyDescent="0.25">
      <c r="A60">
        <v>59</v>
      </c>
      <c r="B60" s="1">
        <v>44233</v>
      </c>
      <c r="C60" t="s">
        <v>5</v>
      </c>
      <c r="D60" t="s">
        <v>30</v>
      </c>
      <c r="E60">
        <v>478400</v>
      </c>
      <c r="F60">
        <v>22542</v>
      </c>
      <c r="G60">
        <v>2392</v>
      </c>
      <c r="H60">
        <v>48</v>
      </c>
      <c r="I60">
        <v>6</v>
      </c>
      <c r="J60">
        <v>13152</v>
      </c>
    </row>
    <row r="61" spans="1:10" x14ac:dyDescent="0.25">
      <c r="A61">
        <v>60</v>
      </c>
      <c r="B61" s="1">
        <v>44233</v>
      </c>
      <c r="C61" t="s">
        <v>6</v>
      </c>
      <c r="D61" t="s">
        <v>28</v>
      </c>
      <c r="E61">
        <v>472252</v>
      </c>
      <c r="F61">
        <v>80971.399999999994</v>
      </c>
      <c r="G61">
        <v>4508</v>
      </c>
      <c r="H61">
        <v>133</v>
      </c>
      <c r="I61">
        <v>27</v>
      </c>
      <c r="J61">
        <v>215487</v>
      </c>
    </row>
    <row r="62" spans="1:10" x14ac:dyDescent="0.25">
      <c r="A62">
        <v>61</v>
      </c>
      <c r="B62" s="1">
        <v>44233</v>
      </c>
      <c r="C62" t="s">
        <v>8</v>
      </c>
      <c r="D62" t="s">
        <v>29</v>
      </c>
      <c r="E62">
        <v>425467</v>
      </c>
      <c r="F62">
        <v>3661.53</v>
      </c>
      <c r="G62">
        <v>2695</v>
      </c>
      <c r="H62">
        <v>14</v>
      </c>
      <c r="I62">
        <v>1</v>
      </c>
      <c r="J62">
        <v>5958</v>
      </c>
    </row>
    <row r="63" spans="1:10" x14ac:dyDescent="0.25">
      <c r="A63">
        <v>62</v>
      </c>
      <c r="B63" s="1">
        <v>44233</v>
      </c>
      <c r="C63" t="s">
        <v>9</v>
      </c>
      <c r="D63" t="s">
        <v>29</v>
      </c>
      <c r="E63">
        <v>1589341</v>
      </c>
      <c r="F63">
        <v>12183.4</v>
      </c>
      <c r="G63">
        <v>5092</v>
      </c>
      <c r="H63">
        <v>102</v>
      </c>
      <c r="I63">
        <v>5</v>
      </c>
      <c r="J63">
        <v>12295</v>
      </c>
    </row>
    <row r="64" spans="1:10" x14ac:dyDescent="0.25">
      <c r="A64">
        <v>63</v>
      </c>
      <c r="B64" s="1">
        <v>44233</v>
      </c>
      <c r="C64" t="s">
        <v>10</v>
      </c>
      <c r="D64" t="s">
        <v>29</v>
      </c>
      <c r="E64">
        <v>10200</v>
      </c>
      <c r="F64">
        <v>1420.15</v>
      </c>
      <c r="G64">
        <v>306</v>
      </c>
      <c r="H64">
        <v>6</v>
      </c>
      <c r="I64">
        <v>1</v>
      </c>
      <c r="J64">
        <v>5492</v>
      </c>
    </row>
    <row r="65" spans="1:10" x14ac:dyDescent="0.25">
      <c r="A65">
        <v>64</v>
      </c>
      <c r="B65" s="1">
        <v>44233</v>
      </c>
      <c r="C65" t="s">
        <v>11</v>
      </c>
      <c r="D65" t="s">
        <v>29</v>
      </c>
      <c r="E65">
        <v>119700</v>
      </c>
      <c r="F65">
        <v>29281</v>
      </c>
      <c r="G65">
        <v>1197</v>
      </c>
      <c r="H65">
        <v>24</v>
      </c>
      <c r="I65">
        <v>4</v>
      </c>
      <c r="J65">
        <v>6428</v>
      </c>
    </row>
    <row r="66" spans="1:10" x14ac:dyDescent="0.25">
      <c r="A66">
        <v>65</v>
      </c>
      <c r="B66" s="1">
        <v>44233</v>
      </c>
      <c r="C66" t="s">
        <v>12</v>
      </c>
      <c r="D66" t="s">
        <v>28</v>
      </c>
      <c r="E66">
        <v>300700</v>
      </c>
      <c r="F66">
        <v>8289.2099999999991</v>
      </c>
      <c r="G66">
        <v>3007</v>
      </c>
      <c r="H66">
        <v>20</v>
      </c>
      <c r="I66">
        <v>2</v>
      </c>
      <c r="J66">
        <v>9450</v>
      </c>
    </row>
    <row r="67" spans="1:10" x14ac:dyDescent="0.25">
      <c r="A67">
        <v>66</v>
      </c>
      <c r="B67" s="1">
        <v>44233</v>
      </c>
      <c r="C67" t="s">
        <v>13</v>
      </c>
      <c r="D67" t="s">
        <v>31</v>
      </c>
      <c r="E67">
        <v>42070000</v>
      </c>
      <c r="F67">
        <v>38185.199999999997</v>
      </c>
      <c r="G67">
        <v>4207</v>
      </c>
      <c r="H67">
        <v>84</v>
      </c>
      <c r="I67">
        <v>10</v>
      </c>
      <c r="J67">
        <v>48820</v>
      </c>
    </row>
    <row r="68" spans="1:10" x14ac:dyDescent="0.25">
      <c r="A68">
        <v>67</v>
      </c>
      <c r="B68" s="1">
        <v>44234</v>
      </c>
      <c r="C68" t="s">
        <v>0</v>
      </c>
      <c r="D68" t="s">
        <v>29</v>
      </c>
      <c r="E68">
        <v>478000</v>
      </c>
      <c r="F68">
        <v>27314.400000000001</v>
      </c>
      <c r="G68">
        <v>2390</v>
      </c>
      <c r="H68">
        <v>45</v>
      </c>
      <c r="I68">
        <v>5</v>
      </c>
      <c r="J68">
        <v>24905</v>
      </c>
    </row>
    <row r="69" spans="1:10" x14ac:dyDescent="0.25">
      <c r="A69">
        <v>68</v>
      </c>
      <c r="B69" s="1">
        <v>44234</v>
      </c>
      <c r="C69" t="s">
        <v>2</v>
      </c>
      <c r="D69" t="s">
        <v>29</v>
      </c>
      <c r="E69">
        <v>659000</v>
      </c>
      <c r="F69">
        <v>38485.599999999999</v>
      </c>
      <c r="G69">
        <v>3295</v>
      </c>
      <c r="H69">
        <v>66</v>
      </c>
      <c r="I69">
        <v>5</v>
      </c>
      <c r="J69">
        <v>23735</v>
      </c>
    </row>
    <row r="70" spans="1:10" x14ac:dyDescent="0.25">
      <c r="A70">
        <v>69</v>
      </c>
      <c r="B70" s="1">
        <v>44234</v>
      </c>
      <c r="C70" t="s">
        <v>3</v>
      </c>
      <c r="D70" t="s">
        <v>30</v>
      </c>
      <c r="E70">
        <v>44650</v>
      </c>
      <c r="F70">
        <v>6426</v>
      </c>
      <c r="G70">
        <v>893</v>
      </c>
      <c r="H70">
        <v>18</v>
      </c>
      <c r="I70">
        <v>2</v>
      </c>
      <c r="J70">
        <v>14152</v>
      </c>
    </row>
    <row r="71" spans="1:10" x14ac:dyDescent="0.25">
      <c r="A71">
        <v>70</v>
      </c>
      <c r="B71" s="1">
        <v>44234</v>
      </c>
      <c r="C71" t="s">
        <v>5</v>
      </c>
      <c r="D71" t="s">
        <v>30</v>
      </c>
      <c r="E71">
        <v>1137473</v>
      </c>
      <c r="F71">
        <v>18102.099999999999</v>
      </c>
      <c r="G71">
        <v>2404</v>
      </c>
      <c r="H71">
        <v>48</v>
      </c>
      <c r="I71">
        <v>5</v>
      </c>
      <c r="J71">
        <v>17845</v>
      </c>
    </row>
    <row r="72" spans="1:10" x14ac:dyDescent="0.25">
      <c r="A72">
        <v>71</v>
      </c>
      <c r="B72" s="1">
        <v>44234</v>
      </c>
      <c r="C72" t="s">
        <v>6</v>
      </c>
      <c r="D72" t="s">
        <v>28</v>
      </c>
      <c r="E72">
        <v>694624</v>
      </c>
      <c r="F72">
        <v>31680.1</v>
      </c>
      <c r="G72">
        <v>4505</v>
      </c>
      <c r="H72">
        <v>82</v>
      </c>
      <c r="I72">
        <v>15</v>
      </c>
      <c r="J72">
        <v>119715</v>
      </c>
    </row>
    <row r="73" spans="1:10" x14ac:dyDescent="0.25">
      <c r="A73">
        <v>72</v>
      </c>
      <c r="B73" s="1">
        <v>44234</v>
      </c>
      <c r="C73" t="s">
        <v>8</v>
      </c>
      <c r="D73" t="s">
        <v>29</v>
      </c>
      <c r="E73">
        <v>1246126</v>
      </c>
      <c r="F73">
        <v>37965.9</v>
      </c>
      <c r="G73">
        <v>2696</v>
      </c>
      <c r="H73">
        <v>100</v>
      </c>
      <c r="I73">
        <v>11</v>
      </c>
      <c r="J73">
        <v>65791</v>
      </c>
    </row>
    <row r="74" spans="1:10" x14ac:dyDescent="0.25">
      <c r="A74">
        <v>73</v>
      </c>
      <c r="B74" s="1">
        <v>44234</v>
      </c>
      <c r="C74" t="s">
        <v>9</v>
      </c>
      <c r="D74" t="s">
        <v>29</v>
      </c>
      <c r="E74">
        <v>567096</v>
      </c>
      <c r="F74">
        <v>6747.94</v>
      </c>
      <c r="G74">
        <v>5103</v>
      </c>
      <c r="H74">
        <v>199</v>
      </c>
      <c r="I74">
        <v>2</v>
      </c>
      <c r="J74">
        <v>3962</v>
      </c>
    </row>
    <row r="75" spans="1:10" x14ac:dyDescent="0.25">
      <c r="A75">
        <v>74</v>
      </c>
      <c r="B75" s="1">
        <v>44234</v>
      </c>
      <c r="C75" t="s">
        <v>10</v>
      </c>
      <c r="D75" t="s">
        <v>29</v>
      </c>
      <c r="E75">
        <v>9938</v>
      </c>
      <c r="F75">
        <v>3435.44</v>
      </c>
      <c r="G75">
        <v>294</v>
      </c>
      <c r="H75">
        <v>6</v>
      </c>
      <c r="I75">
        <v>1</v>
      </c>
      <c r="J75">
        <v>4981</v>
      </c>
    </row>
    <row r="76" spans="1:10" x14ac:dyDescent="0.25">
      <c r="A76">
        <v>75</v>
      </c>
      <c r="B76" s="1">
        <v>44234</v>
      </c>
      <c r="C76" t="s">
        <v>11</v>
      </c>
      <c r="D76" t="s">
        <v>29</v>
      </c>
      <c r="E76">
        <v>174221</v>
      </c>
      <c r="F76">
        <v>10104.9</v>
      </c>
      <c r="G76">
        <v>1197</v>
      </c>
      <c r="H76">
        <v>6</v>
      </c>
      <c r="I76">
        <v>1</v>
      </c>
      <c r="J76">
        <v>981</v>
      </c>
    </row>
    <row r="77" spans="1:10" x14ac:dyDescent="0.25">
      <c r="A77">
        <v>76</v>
      </c>
      <c r="B77" s="1">
        <v>44234</v>
      </c>
      <c r="C77" t="s">
        <v>12</v>
      </c>
      <c r="D77" t="s">
        <v>28</v>
      </c>
      <c r="E77">
        <v>300700</v>
      </c>
      <c r="F77">
        <v>46167.6</v>
      </c>
      <c r="G77">
        <v>3007</v>
      </c>
      <c r="H77">
        <v>93</v>
      </c>
      <c r="I77">
        <v>12</v>
      </c>
      <c r="J77">
        <v>68076</v>
      </c>
    </row>
    <row r="78" spans="1:10" x14ac:dyDescent="0.25">
      <c r="A78">
        <v>77</v>
      </c>
      <c r="B78" s="1">
        <v>44234</v>
      </c>
      <c r="C78" t="s">
        <v>13</v>
      </c>
      <c r="D78" t="s">
        <v>31</v>
      </c>
      <c r="E78">
        <v>3957603</v>
      </c>
      <c r="F78">
        <v>79987.7</v>
      </c>
      <c r="G78">
        <v>4203</v>
      </c>
      <c r="H78">
        <v>142</v>
      </c>
      <c r="I78">
        <v>27</v>
      </c>
      <c r="J78">
        <v>90504</v>
      </c>
    </row>
    <row r="79" spans="1:10" x14ac:dyDescent="0.25">
      <c r="A79">
        <v>78</v>
      </c>
      <c r="B79" s="1">
        <v>44235</v>
      </c>
      <c r="C79" t="s">
        <v>0</v>
      </c>
      <c r="D79" t="s">
        <v>29</v>
      </c>
      <c r="E79">
        <v>479000</v>
      </c>
      <c r="F79">
        <v>27210.400000000001</v>
      </c>
      <c r="G79">
        <v>2395</v>
      </c>
      <c r="H79">
        <v>36</v>
      </c>
      <c r="I79">
        <v>5</v>
      </c>
      <c r="J79">
        <v>22345</v>
      </c>
    </row>
    <row r="80" spans="1:10" x14ac:dyDescent="0.25">
      <c r="A80">
        <v>79</v>
      </c>
      <c r="B80" s="1">
        <v>44235</v>
      </c>
      <c r="C80" t="s">
        <v>2</v>
      </c>
      <c r="D80" t="s">
        <v>29</v>
      </c>
      <c r="E80">
        <v>472656</v>
      </c>
      <c r="F80">
        <v>33752.800000000003</v>
      </c>
      <c r="G80">
        <v>3290</v>
      </c>
      <c r="H80">
        <v>66</v>
      </c>
      <c r="I80">
        <v>5</v>
      </c>
      <c r="J80">
        <v>28670</v>
      </c>
    </row>
    <row r="81" spans="1:10" x14ac:dyDescent="0.25">
      <c r="A81">
        <v>80</v>
      </c>
      <c r="B81" s="1">
        <v>44235</v>
      </c>
      <c r="C81" t="s">
        <v>3</v>
      </c>
      <c r="D81" t="s">
        <v>30</v>
      </c>
      <c r="E81">
        <v>51350</v>
      </c>
      <c r="F81">
        <v>6918.85</v>
      </c>
      <c r="G81">
        <v>904</v>
      </c>
      <c r="H81">
        <v>20</v>
      </c>
      <c r="I81">
        <v>2</v>
      </c>
      <c r="J81">
        <v>16240</v>
      </c>
    </row>
    <row r="82" spans="1:10" x14ac:dyDescent="0.25">
      <c r="A82">
        <v>81</v>
      </c>
      <c r="B82" s="1">
        <v>44235</v>
      </c>
      <c r="C82" t="s">
        <v>5</v>
      </c>
      <c r="D82" t="s">
        <v>30</v>
      </c>
      <c r="E82">
        <v>478000</v>
      </c>
      <c r="F82">
        <v>16567.5</v>
      </c>
      <c r="G82">
        <v>2390</v>
      </c>
      <c r="H82">
        <v>48</v>
      </c>
      <c r="I82">
        <v>5</v>
      </c>
      <c r="J82">
        <v>16995</v>
      </c>
    </row>
    <row r="83" spans="1:10" x14ac:dyDescent="0.25">
      <c r="A83">
        <v>82</v>
      </c>
      <c r="B83" s="1">
        <v>44235</v>
      </c>
      <c r="C83" t="s">
        <v>6</v>
      </c>
      <c r="D83" t="s">
        <v>28</v>
      </c>
      <c r="E83">
        <v>685530</v>
      </c>
      <c r="F83">
        <v>33892.6</v>
      </c>
      <c r="G83">
        <v>4491</v>
      </c>
      <c r="H83">
        <v>79</v>
      </c>
      <c r="I83">
        <v>16</v>
      </c>
      <c r="J83">
        <v>120176</v>
      </c>
    </row>
    <row r="84" spans="1:10" x14ac:dyDescent="0.25">
      <c r="A84">
        <v>83</v>
      </c>
      <c r="B84" s="1">
        <v>44235</v>
      </c>
      <c r="C84" t="s">
        <v>8</v>
      </c>
      <c r="D84" t="s">
        <v>29</v>
      </c>
      <c r="E84">
        <v>472836</v>
      </c>
      <c r="F84">
        <v>330.76</v>
      </c>
      <c r="G84">
        <v>2690</v>
      </c>
      <c r="H84">
        <v>1</v>
      </c>
      <c r="I84">
        <v>0</v>
      </c>
      <c r="J84">
        <v>0</v>
      </c>
    </row>
    <row r="85" spans="1:10" x14ac:dyDescent="0.25">
      <c r="A85">
        <v>84</v>
      </c>
      <c r="B85" s="1">
        <v>44235</v>
      </c>
      <c r="C85" t="s">
        <v>9</v>
      </c>
      <c r="D85" t="s">
        <v>29</v>
      </c>
      <c r="E85">
        <v>1020000</v>
      </c>
      <c r="F85">
        <v>2057.3000000000002</v>
      </c>
      <c r="G85">
        <v>5100</v>
      </c>
      <c r="H85">
        <v>102</v>
      </c>
      <c r="I85">
        <v>1</v>
      </c>
      <c r="J85">
        <v>1981</v>
      </c>
    </row>
    <row r="86" spans="1:10" x14ac:dyDescent="0.25">
      <c r="A86">
        <v>85</v>
      </c>
      <c r="B86" s="1">
        <v>44235</v>
      </c>
      <c r="C86" t="s">
        <v>10</v>
      </c>
      <c r="D86" t="s">
        <v>29</v>
      </c>
      <c r="E86">
        <v>10067</v>
      </c>
      <c r="F86">
        <v>4336.04</v>
      </c>
      <c r="G86">
        <v>302</v>
      </c>
      <c r="H86">
        <v>10</v>
      </c>
      <c r="I86">
        <v>2</v>
      </c>
      <c r="J86">
        <v>10036</v>
      </c>
    </row>
    <row r="87" spans="1:10" x14ac:dyDescent="0.25">
      <c r="A87">
        <v>86</v>
      </c>
      <c r="B87" s="1">
        <v>44235</v>
      </c>
      <c r="C87" t="s">
        <v>11</v>
      </c>
      <c r="D87" t="s">
        <v>29</v>
      </c>
      <c r="E87">
        <v>120200</v>
      </c>
      <c r="F87">
        <v>40099</v>
      </c>
      <c r="G87">
        <v>1202</v>
      </c>
      <c r="H87">
        <v>24</v>
      </c>
      <c r="I87">
        <v>5</v>
      </c>
      <c r="J87">
        <v>4905</v>
      </c>
    </row>
    <row r="88" spans="1:10" x14ac:dyDescent="0.25">
      <c r="A88">
        <v>87</v>
      </c>
      <c r="B88" s="1">
        <v>44235</v>
      </c>
      <c r="C88" t="s">
        <v>12</v>
      </c>
      <c r="D88" t="s">
        <v>28</v>
      </c>
      <c r="E88">
        <v>361650</v>
      </c>
      <c r="F88">
        <v>31154.3</v>
      </c>
      <c r="G88">
        <v>2991</v>
      </c>
      <c r="H88">
        <v>60</v>
      </c>
      <c r="I88">
        <v>9</v>
      </c>
      <c r="J88">
        <v>45027</v>
      </c>
    </row>
    <row r="89" spans="1:10" x14ac:dyDescent="0.25">
      <c r="A89">
        <v>88</v>
      </c>
      <c r="B89" s="1">
        <v>44235</v>
      </c>
      <c r="C89" t="s">
        <v>13</v>
      </c>
      <c r="D89" t="s">
        <v>31</v>
      </c>
      <c r="E89">
        <v>2233790</v>
      </c>
      <c r="F89">
        <v>31883.9</v>
      </c>
      <c r="G89">
        <v>4197</v>
      </c>
      <c r="H89">
        <v>84</v>
      </c>
      <c r="I89">
        <v>10</v>
      </c>
      <c r="J89">
        <v>42280</v>
      </c>
    </row>
    <row r="90" spans="1:10" x14ac:dyDescent="0.25">
      <c r="A90">
        <v>89</v>
      </c>
      <c r="B90" s="1">
        <v>44236</v>
      </c>
      <c r="C90" t="s">
        <v>0</v>
      </c>
      <c r="D90" t="s">
        <v>29</v>
      </c>
      <c r="E90">
        <v>478600</v>
      </c>
      <c r="F90">
        <v>49036.5</v>
      </c>
      <c r="G90">
        <v>2393</v>
      </c>
      <c r="H90">
        <v>68</v>
      </c>
      <c r="I90">
        <v>9</v>
      </c>
      <c r="J90">
        <v>42813</v>
      </c>
    </row>
    <row r="91" spans="1:10" x14ac:dyDescent="0.25">
      <c r="A91">
        <v>90</v>
      </c>
      <c r="B91" s="1">
        <v>44236</v>
      </c>
      <c r="C91" t="s">
        <v>2</v>
      </c>
      <c r="D91" t="s">
        <v>29</v>
      </c>
      <c r="E91">
        <v>555116</v>
      </c>
      <c r="F91">
        <v>62119.4</v>
      </c>
      <c r="G91">
        <v>3303</v>
      </c>
      <c r="H91">
        <v>96</v>
      </c>
      <c r="I91">
        <v>11</v>
      </c>
      <c r="J91">
        <v>54791</v>
      </c>
    </row>
    <row r="92" spans="1:10" x14ac:dyDescent="0.25">
      <c r="A92">
        <v>91</v>
      </c>
      <c r="B92" s="1">
        <v>44236</v>
      </c>
      <c r="C92" t="s">
        <v>3</v>
      </c>
      <c r="D92" t="s">
        <v>30</v>
      </c>
      <c r="E92">
        <v>44900</v>
      </c>
      <c r="F92">
        <v>3095.21</v>
      </c>
      <c r="G92">
        <v>898</v>
      </c>
      <c r="H92">
        <v>5</v>
      </c>
      <c r="I92">
        <v>1</v>
      </c>
      <c r="J92">
        <v>7998</v>
      </c>
    </row>
    <row r="93" spans="1:10" x14ac:dyDescent="0.25">
      <c r="A93">
        <v>92</v>
      </c>
      <c r="B93" s="1">
        <v>44236</v>
      </c>
      <c r="C93" t="s">
        <v>5</v>
      </c>
      <c r="D93" t="s">
        <v>30</v>
      </c>
      <c r="E93">
        <v>478600</v>
      </c>
      <c r="F93">
        <v>20299.3</v>
      </c>
      <c r="G93">
        <v>2393</v>
      </c>
      <c r="H93">
        <v>48</v>
      </c>
      <c r="I93">
        <v>5</v>
      </c>
      <c r="J93">
        <v>14905</v>
      </c>
    </row>
    <row r="94" spans="1:10" x14ac:dyDescent="0.25">
      <c r="A94">
        <v>93</v>
      </c>
      <c r="B94" s="1">
        <v>44236</v>
      </c>
      <c r="C94" t="s">
        <v>6</v>
      </c>
      <c r="D94" t="s">
        <v>28</v>
      </c>
      <c r="E94">
        <v>491821</v>
      </c>
      <c r="F94">
        <v>27833</v>
      </c>
      <c r="G94">
        <v>4495</v>
      </c>
      <c r="H94">
        <v>90</v>
      </c>
      <c r="I94">
        <v>18</v>
      </c>
      <c r="J94">
        <v>143658</v>
      </c>
    </row>
    <row r="95" spans="1:10" x14ac:dyDescent="0.25">
      <c r="A95">
        <v>94</v>
      </c>
      <c r="B95" s="1">
        <v>44236</v>
      </c>
      <c r="C95" t="s">
        <v>8</v>
      </c>
      <c r="D95" t="s">
        <v>29</v>
      </c>
      <c r="E95">
        <v>759532</v>
      </c>
      <c r="F95">
        <v>10317</v>
      </c>
      <c r="G95">
        <v>2701</v>
      </c>
      <c r="H95">
        <v>19</v>
      </c>
      <c r="I95">
        <v>3</v>
      </c>
      <c r="J95">
        <v>19800</v>
      </c>
    </row>
    <row r="96" spans="1:10" x14ac:dyDescent="0.25">
      <c r="A96">
        <v>95</v>
      </c>
      <c r="B96" s="1">
        <v>44236</v>
      </c>
      <c r="C96" t="s">
        <v>9</v>
      </c>
      <c r="D96" t="s">
        <v>29</v>
      </c>
      <c r="E96">
        <v>1022000</v>
      </c>
      <c r="F96">
        <v>7398.26</v>
      </c>
      <c r="G96">
        <v>5110</v>
      </c>
      <c r="H96">
        <v>102</v>
      </c>
      <c r="I96">
        <v>3</v>
      </c>
      <c r="J96">
        <v>5943</v>
      </c>
    </row>
    <row r="97" spans="1:10" x14ac:dyDescent="0.25">
      <c r="A97">
        <v>96</v>
      </c>
      <c r="B97" s="1">
        <v>44236</v>
      </c>
      <c r="C97" t="s">
        <v>10</v>
      </c>
      <c r="D97" t="s">
        <v>29</v>
      </c>
      <c r="E97">
        <v>9721</v>
      </c>
      <c r="F97">
        <v>2152.37</v>
      </c>
      <c r="G97">
        <v>290</v>
      </c>
      <c r="H97">
        <v>6</v>
      </c>
      <c r="I97">
        <v>1</v>
      </c>
      <c r="J97">
        <v>4353</v>
      </c>
    </row>
    <row r="98" spans="1:10" x14ac:dyDescent="0.25">
      <c r="A98">
        <v>97</v>
      </c>
      <c r="B98" s="1">
        <v>44236</v>
      </c>
      <c r="C98" t="s">
        <v>11</v>
      </c>
      <c r="D98" t="s">
        <v>29</v>
      </c>
      <c r="E98">
        <v>189854</v>
      </c>
      <c r="F98">
        <v>29091.4</v>
      </c>
      <c r="G98">
        <v>1198</v>
      </c>
      <c r="H98">
        <v>24</v>
      </c>
      <c r="I98">
        <v>3</v>
      </c>
      <c r="J98">
        <v>2943</v>
      </c>
    </row>
    <row r="99" spans="1:10" x14ac:dyDescent="0.25">
      <c r="A99">
        <v>98</v>
      </c>
      <c r="B99" s="1">
        <v>44236</v>
      </c>
      <c r="C99" t="s">
        <v>12</v>
      </c>
      <c r="D99" t="s">
        <v>28</v>
      </c>
      <c r="E99">
        <v>346068</v>
      </c>
      <c r="F99">
        <v>57642.400000000001</v>
      </c>
      <c r="G99">
        <v>3006</v>
      </c>
      <c r="H99">
        <v>99</v>
      </c>
      <c r="I99">
        <v>15</v>
      </c>
      <c r="J99">
        <v>89460</v>
      </c>
    </row>
    <row r="100" spans="1:10" x14ac:dyDescent="0.25">
      <c r="A100">
        <v>99</v>
      </c>
      <c r="B100" s="1">
        <v>44236</v>
      </c>
      <c r="C100" t="s">
        <v>13</v>
      </c>
      <c r="D100" t="s">
        <v>31</v>
      </c>
      <c r="E100">
        <v>3736884</v>
      </c>
      <c r="F100">
        <v>44731.7</v>
      </c>
      <c r="G100">
        <v>4190</v>
      </c>
      <c r="H100">
        <v>84</v>
      </c>
      <c r="I100">
        <v>13</v>
      </c>
      <c r="J100">
        <v>51259</v>
      </c>
    </row>
    <row r="101" spans="1:10" x14ac:dyDescent="0.25">
      <c r="A101">
        <v>100</v>
      </c>
      <c r="B101" s="1">
        <v>44237</v>
      </c>
      <c r="C101" t="s">
        <v>0</v>
      </c>
      <c r="D101" t="s">
        <v>29</v>
      </c>
      <c r="E101">
        <v>961800</v>
      </c>
      <c r="F101">
        <v>43386.400000000001</v>
      </c>
      <c r="G101">
        <v>4809</v>
      </c>
      <c r="H101">
        <v>96</v>
      </c>
      <c r="I101">
        <v>8</v>
      </c>
      <c r="J101">
        <v>42400</v>
      </c>
    </row>
    <row r="102" spans="1:10" x14ac:dyDescent="0.25">
      <c r="A102">
        <v>101</v>
      </c>
      <c r="B102" s="1">
        <v>44237</v>
      </c>
      <c r="C102" t="s">
        <v>2</v>
      </c>
      <c r="D102" t="s">
        <v>29</v>
      </c>
      <c r="E102">
        <v>852250</v>
      </c>
      <c r="F102">
        <v>43865.9</v>
      </c>
      <c r="G102">
        <v>6596</v>
      </c>
      <c r="H102">
        <v>132</v>
      </c>
      <c r="I102">
        <v>7</v>
      </c>
      <c r="J102">
        <v>34867</v>
      </c>
    </row>
    <row r="103" spans="1:10" x14ac:dyDescent="0.25">
      <c r="A103">
        <v>102</v>
      </c>
      <c r="B103" s="1">
        <v>44237</v>
      </c>
      <c r="C103" t="s">
        <v>3</v>
      </c>
      <c r="D103" t="s">
        <v>30</v>
      </c>
      <c r="E103">
        <v>108748</v>
      </c>
      <c r="F103">
        <v>51883.1</v>
      </c>
      <c r="G103">
        <v>1797</v>
      </c>
      <c r="H103">
        <v>57</v>
      </c>
      <c r="I103">
        <v>11</v>
      </c>
      <c r="J103">
        <v>86724</v>
      </c>
    </row>
    <row r="104" spans="1:10" x14ac:dyDescent="0.25">
      <c r="A104">
        <v>103</v>
      </c>
      <c r="B104" s="1">
        <v>44237</v>
      </c>
      <c r="C104" t="s">
        <v>5</v>
      </c>
      <c r="D104" t="s">
        <v>30</v>
      </c>
      <c r="E104">
        <v>797238</v>
      </c>
      <c r="F104">
        <v>67577.8</v>
      </c>
      <c r="G104">
        <v>4797</v>
      </c>
      <c r="H104">
        <v>154</v>
      </c>
      <c r="I104">
        <v>19</v>
      </c>
      <c r="J104">
        <v>42598</v>
      </c>
    </row>
    <row r="105" spans="1:10" x14ac:dyDescent="0.25">
      <c r="A105">
        <v>104</v>
      </c>
      <c r="B105" s="1">
        <v>44237</v>
      </c>
      <c r="C105" t="s">
        <v>6</v>
      </c>
      <c r="D105" t="s">
        <v>28</v>
      </c>
      <c r="E105">
        <v>1469962</v>
      </c>
      <c r="F105">
        <v>19831.400000000001</v>
      </c>
      <c r="G105">
        <v>8998</v>
      </c>
      <c r="H105">
        <v>80</v>
      </c>
      <c r="I105">
        <v>16</v>
      </c>
      <c r="J105">
        <v>130768</v>
      </c>
    </row>
    <row r="106" spans="1:10" x14ac:dyDescent="0.25">
      <c r="A106">
        <v>105</v>
      </c>
      <c r="B106" s="1">
        <v>44237</v>
      </c>
      <c r="C106" t="s">
        <v>8</v>
      </c>
      <c r="D106" t="s">
        <v>29</v>
      </c>
      <c r="E106">
        <v>3858193</v>
      </c>
      <c r="F106">
        <v>38890.300000000003</v>
      </c>
      <c r="G106">
        <v>5406</v>
      </c>
      <c r="H106">
        <v>186</v>
      </c>
      <c r="I106">
        <v>14</v>
      </c>
      <c r="J106">
        <v>83734</v>
      </c>
    </row>
    <row r="107" spans="1:10" x14ac:dyDescent="0.25">
      <c r="A107">
        <v>106</v>
      </c>
      <c r="B107" s="1">
        <v>44237</v>
      </c>
      <c r="C107" t="s">
        <v>9</v>
      </c>
      <c r="D107" t="s">
        <v>29</v>
      </c>
      <c r="E107">
        <v>2040000</v>
      </c>
      <c r="F107">
        <v>14147.9</v>
      </c>
      <c r="G107">
        <v>10200</v>
      </c>
      <c r="H107">
        <v>395</v>
      </c>
      <c r="I107">
        <v>4</v>
      </c>
      <c r="J107">
        <v>7924</v>
      </c>
    </row>
    <row r="108" spans="1:10" x14ac:dyDescent="0.25">
      <c r="A108">
        <v>107</v>
      </c>
      <c r="B108" s="1">
        <v>44237</v>
      </c>
      <c r="C108" t="s">
        <v>10</v>
      </c>
      <c r="D108" t="s">
        <v>29</v>
      </c>
      <c r="E108">
        <v>18399</v>
      </c>
      <c r="F108">
        <v>12713</v>
      </c>
      <c r="G108">
        <v>599</v>
      </c>
      <c r="H108">
        <v>22</v>
      </c>
      <c r="I108">
        <v>5</v>
      </c>
      <c r="J108">
        <v>27065</v>
      </c>
    </row>
    <row r="109" spans="1:10" x14ac:dyDescent="0.25">
      <c r="A109">
        <v>108</v>
      </c>
      <c r="B109" s="1">
        <v>44237</v>
      </c>
      <c r="C109" t="s">
        <v>11</v>
      </c>
      <c r="D109" t="s">
        <v>29</v>
      </c>
      <c r="E109">
        <v>321713</v>
      </c>
      <c r="F109">
        <v>131236</v>
      </c>
      <c r="G109">
        <v>2396</v>
      </c>
      <c r="H109">
        <v>88</v>
      </c>
      <c r="I109">
        <v>15</v>
      </c>
      <c r="J109">
        <v>14715</v>
      </c>
    </row>
    <row r="110" spans="1:10" x14ac:dyDescent="0.25">
      <c r="A110">
        <v>109</v>
      </c>
      <c r="B110" s="1">
        <v>44237</v>
      </c>
      <c r="C110" t="s">
        <v>12</v>
      </c>
      <c r="D110" t="s">
        <v>28</v>
      </c>
      <c r="E110">
        <v>489728</v>
      </c>
      <c r="F110">
        <v>126901</v>
      </c>
      <c r="G110">
        <v>6005</v>
      </c>
      <c r="H110">
        <v>187</v>
      </c>
      <c r="I110">
        <v>34</v>
      </c>
      <c r="J110">
        <v>143888</v>
      </c>
    </row>
    <row r="111" spans="1:10" x14ac:dyDescent="0.25">
      <c r="A111">
        <v>110</v>
      </c>
      <c r="B111" s="1">
        <v>44237</v>
      </c>
      <c r="C111" t="s">
        <v>13</v>
      </c>
      <c r="D111" t="s">
        <v>31</v>
      </c>
      <c r="E111">
        <v>5219501</v>
      </c>
      <c r="F111">
        <v>179519</v>
      </c>
      <c r="G111">
        <v>8391</v>
      </c>
      <c r="H111">
        <v>302</v>
      </c>
      <c r="I111">
        <v>60</v>
      </c>
      <c r="J111">
        <v>196680</v>
      </c>
    </row>
    <row r="112" spans="1:10" x14ac:dyDescent="0.25">
      <c r="A112">
        <v>111</v>
      </c>
      <c r="B112" s="1">
        <v>44238</v>
      </c>
      <c r="C112" t="s">
        <v>0</v>
      </c>
      <c r="D112" t="s">
        <v>29</v>
      </c>
      <c r="E112">
        <v>1061233</v>
      </c>
      <c r="F112">
        <v>105681</v>
      </c>
      <c r="G112">
        <v>7206</v>
      </c>
      <c r="H112">
        <v>144</v>
      </c>
      <c r="I112">
        <v>23</v>
      </c>
      <c r="J112">
        <v>105225</v>
      </c>
    </row>
    <row r="113" spans="1:10" x14ac:dyDescent="0.25">
      <c r="A113">
        <v>112</v>
      </c>
      <c r="B113" s="1">
        <v>44238</v>
      </c>
      <c r="C113" t="s">
        <v>2</v>
      </c>
      <c r="D113" t="s">
        <v>29</v>
      </c>
      <c r="E113">
        <v>4564542</v>
      </c>
      <c r="F113">
        <v>188516</v>
      </c>
      <c r="G113">
        <v>9895</v>
      </c>
      <c r="H113">
        <v>304</v>
      </c>
      <c r="I113">
        <v>28</v>
      </c>
      <c r="J113">
        <v>131068</v>
      </c>
    </row>
    <row r="114" spans="1:10" x14ac:dyDescent="0.25">
      <c r="A114">
        <v>113</v>
      </c>
      <c r="B114" s="1">
        <v>44238</v>
      </c>
      <c r="C114" t="s">
        <v>3</v>
      </c>
      <c r="D114" t="s">
        <v>30</v>
      </c>
      <c r="E114">
        <v>134600</v>
      </c>
      <c r="F114">
        <v>26220.400000000001</v>
      </c>
      <c r="G114">
        <v>2692</v>
      </c>
      <c r="H114">
        <v>54</v>
      </c>
      <c r="I114">
        <v>6</v>
      </c>
      <c r="J114">
        <v>48990</v>
      </c>
    </row>
    <row r="115" spans="1:10" x14ac:dyDescent="0.25">
      <c r="A115">
        <v>114</v>
      </c>
      <c r="B115" s="1">
        <v>44238</v>
      </c>
      <c r="C115" t="s">
        <v>5</v>
      </c>
      <c r="D115" t="s">
        <v>30</v>
      </c>
      <c r="E115">
        <v>1254537</v>
      </c>
      <c r="F115">
        <v>51422.5</v>
      </c>
      <c r="G115">
        <v>7198</v>
      </c>
      <c r="H115">
        <v>144</v>
      </c>
      <c r="I115">
        <v>14</v>
      </c>
      <c r="J115">
        <v>41986</v>
      </c>
    </row>
    <row r="116" spans="1:10" x14ac:dyDescent="0.25">
      <c r="A116">
        <v>115</v>
      </c>
      <c r="B116" s="1">
        <v>44238</v>
      </c>
      <c r="C116" t="s">
        <v>6</v>
      </c>
      <c r="D116" t="s">
        <v>28</v>
      </c>
      <c r="E116">
        <v>1210466</v>
      </c>
      <c r="F116">
        <v>197161</v>
      </c>
      <c r="G116">
        <v>13506</v>
      </c>
      <c r="H116">
        <v>474</v>
      </c>
      <c r="I116">
        <v>95</v>
      </c>
      <c r="J116">
        <v>831820</v>
      </c>
    </row>
    <row r="117" spans="1:10" x14ac:dyDescent="0.25">
      <c r="A117">
        <v>116</v>
      </c>
      <c r="B117" s="1">
        <v>44238</v>
      </c>
      <c r="C117" t="s">
        <v>8</v>
      </c>
      <c r="D117" t="s">
        <v>29</v>
      </c>
      <c r="E117">
        <v>2224531</v>
      </c>
      <c r="F117">
        <v>348.99</v>
      </c>
      <c r="G117">
        <v>8106</v>
      </c>
      <c r="H117">
        <v>1</v>
      </c>
      <c r="I117">
        <v>0</v>
      </c>
      <c r="J117">
        <v>0</v>
      </c>
    </row>
    <row r="118" spans="1:10" x14ac:dyDescent="0.25">
      <c r="A118">
        <v>117</v>
      </c>
      <c r="B118" s="1">
        <v>44238</v>
      </c>
      <c r="C118" t="s">
        <v>9</v>
      </c>
      <c r="D118" t="s">
        <v>29</v>
      </c>
      <c r="E118">
        <v>3058200</v>
      </c>
      <c r="F118">
        <v>4138.7299999999996</v>
      </c>
      <c r="G118">
        <v>15291</v>
      </c>
      <c r="H118">
        <v>114</v>
      </c>
      <c r="I118">
        <v>1</v>
      </c>
      <c r="J118">
        <v>2771</v>
      </c>
    </row>
    <row r="119" spans="1:10" x14ac:dyDescent="0.25">
      <c r="A119">
        <v>118</v>
      </c>
      <c r="B119" s="1">
        <v>44238</v>
      </c>
      <c r="C119" t="s">
        <v>10</v>
      </c>
      <c r="D119" t="s">
        <v>29</v>
      </c>
      <c r="E119">
        <v>26774</v>
      </c>
      <c r="F119">
        <v>17711.099999999999</v>
      </c>
      <c r="G119">
        <v>893</v>
      </c>
      <c r="H119">
        <v>27</v>
      </c>
      <c r="I119">
        <v>6</v>
      </c>
      <c r="J119">
        <v>29886</v>
      </c>
    </row>
    <row r="120" spans="1:10" x14ac:dyDescent="0.25">
      <c r="A120">
        <v>119</v>
      </c>
      <c r="B120" s="1">
        <v>44238</v>
      </c>
      <c r="C120" t="s">
        <v>11</v>
      </c>
      <c r="D120" t="s">
        <v>29</v>
      </c>
      <c r="E120">
        <v>359500</v>
      </c>
      <c r="F120">
        <v>6171.15</v>
      </c>
      <c r="G120">
        <v>3595</v>
      </c>
      <c r="H120">
        <v>5</v>
      </c>
      <c r="I120">
        <v>1</v>
      </c>
      <c r="J120">
        <v>677</v>
      </c>
    </row>
    <row r="121" spans="1:10" x14ac:dyDescent="0.25">
      <c r="A121">
        <v>120</v>
      </c>
      <c r="B121" s="1">
        <v>44238</v>
      </c>
      <c r="C121" t="s">
        <v>12</v>
      </c>
      <c r="D121" t="s">
        <v>28</v>
      </c>
      <c r="E121">
        <v>900400</v>
      </c>
      <c r="F121">
        <v>128751</v>
      </c>
      <c r="G121">
        <v>9004</v>
      </c>
      <c r="H121">
        <v>227</v>
      </c>
      <c r="I121">
        <v>29</v>
      </c>
      <c r="J121">
        <v>143869</v>
      </c>
    </row>
    <row r="122" spans="1:10" x14ac:dyDescent="0.25">
      <c r="A122">
        <v>121</v>
      </c>
      <c r="B122" s="1">
        <v>44238</v>
      </c>
      <c r="C122" t="s">
        <v>13</v>
      </c>
      <c r="D122" t="s">
        <v>31</v>
      </c>
      <c r="E122">
        <v>5125187</v>
      </c>
      <c r="F122">
        <v>193124</v>
      </c>
      <c r="G122">
        <v>12602</v>
      </c>
      <c r="H122">
        <v>482</v>
      </c>
      <c r="I122">
        <v>57</v>
      </c>
      <c r="J122">
        <v>226917</v>
      </c>
    </row>
    <row r="123" spans="1:10" x14ac:dyDescent="0.25">
      <c r="A123">
        <v>122</v>
      </c>
      <c r="B123" s="1">
        <v>44239</v>
      </c>
      <c r="C123" t="s">
        <v>0</v>
      </c>
      <c r="D123" t="s">
        <v>29</v>
      </c>
      <c r="E123">
        <v>1804868</v>
      </c>
      <c r="F123">
        <v>110004</v>
      </c>
      <c r="G123">
        <v>9607</v>
      </c>
      <c r="H123">
        <v>192</v>
      </c>
      <c r="I123">
        <v>23</v>
      </c>
      <c r="J123">
        <v>96163</v>
      </c>
    </row>
    <row r="124" spans="1:10" x14ac:dyDescent="0.25">
      <c r="A124">
        <v>123</v>
      </c>
      <c r="B124" s="1">
        <v>44239</v>
      </c>
      <c r="C124" t="s">
        <v>2</v>
      </c>
      <c r="D124" t="s">
        <v>29</v>
      </c>
      <c r="E124">
        <v>2639200</v>
      </c>
      <c r="F124">
        <v>191722</v>
      </c>
      <c r="G124">
        <v>13196</v>
      </c>
      <c r="H124">
        <v>325</v>
      </c>
      <c r="I124">
        <v>32</v>
      </c>
      <c r="J124">
        <v>176512</v>
      </c>
    </row>
    <row r="125" spans="1:10" x14ac:dyDescent="0.25">
      <c r="A125">
        <v>124</v>
      </c>
      <c r="B125" s="1">
        <v>44239</v>
      </c>
      <c r="C125" t="s">
        <v>3</v>
      </c>
      <c r="D125" t="s">
        <v>30</v>
      </c>
      <c r="E125">
        <v>161493</v>
      </c>
      <c r="F125">
        <v>59745.3</v>
      </c>
      <c r="G125">
        <v>3602</v>
      </c>
      <c r="H125">
        <v>72</v>
      </c>
      <c r="I125">
        <v>14</v>
      </c>
      <c r="J125">
        <v>122710</v>
      </c>
    </row>
    <row r="126" spans="1:10" x14ac:dyDescent="0.25">
      <c r="A126">
        <v>125</v>
      </c>
      <c r="B126" s="1">
        <v>44239</v>
      </c>
      <c r="C126" t="s">
        <v>5</v>
      </c>
      <c r="D126" t="s">
        <v>30</v>
      </c>
      <c r="E126">
        <v>1502383</v>
      </c>
      <c r="F126">
        <v>86733.1</v>
      </c>
      <c r="G126">
        <v>9605</v>
      </c>
      <c r="H126">
        <v>192</v>
      </c>
      <c r="I126">
        <v>19</v>
      </c>
      <c r="J126">
        <v>56639</v>
      </c>
    </row>
    <row r="127" spans="1:10" x14ac:dyDescent="0.25">
      <c r="A127">
        <v>126</v>
      </c>
      <c r="B127" s="1">
        <v>44239</v>
      </c>
      <c r="C127" t="s">
        <v>6</v>
      </c>
      <c r="D127" t="s">
        <v>28</v>
      </c>
      <c r="E127">
        <v>1299708</v>
      </c>
      <c r="F127">
        <v>121652</v>
      </c>
      <c r="G127">
        <v>17994</v>
      </c>
      <c r="H127">
        <v>378</v>
      </c>
      <c r="I127">
        <v>61</v>
      </c>
      <c r="J127">
        <v>486841</v>
      </c>
    </row>
    <row r="128" spans="1:10" x14ac:dyDescent="0.25">
      <c r="A128">
        <v>127</v>
      </c>
      <c r="B128" s="1">
        <v>44239</v>
      </c>
      <c r="C128" t="s">
        <v>8</v>
      </c>
      <c r="D128" t="s">
        <v>29</v>
      </c>
      <c r="E128">
        <v>3735390</v>
      </c>
      <c r="F128">
        <v>26659.9</v>
      </c>
      <c r="G128">
        <v>10806</v>
      </c>
      <c r="H128">
        <v>115</v>
      </c>
      <c r="I128">
        <v>9</v>
      </c>
      <c r="J128">
        <v>53523</v>
      </c>
    </row>
    <row r="129" spans="1:10" x14ac:dyDescent="0.25">
      <c r="A129">
        <v>128</v>
      </c>
      <c r="B129" s="1">
        <v>44239</v>
      </c>
      <c r="C129" t="s">
        <v>9</v>
      </c>
      <c r="D129" t="s">
        <v>29</v>
      </c>
      <c r="E129">
        <v>7156880</v>
      </c>
      <c r="F129">
        <v>49060.3</v>
      </c>
      <c r="G129">
        <v>20391</v>
      </c>
      <c r="H129">
        <v>408</v>
      </c>
      <c r="I129">
        <v>15</v>
      </c>
      <c r="J129">
        <v>29715</v>
      </c>
    </row>
    <row r="130" spans="1:10" x14ac:dyDescent="0.25">
      <c r="A130">
        <v>129</v>
      </c>
      <c r="B130" s="1">
        <v>44239</v>
      </c>
      <c r="C130" t="s">
        <v>10</v>
      </c>
      <c r="D130" t="s">
        <v>29</v>
      </c>
      <c r="E130">
        <v>42587</v>
      </c>
      <c r="F130">
        <v>11278.3</v>
      </c>
      <c r="G130">
        <v>1207</v>
      </c>
      <c r="H130">
        <v>34</v>
      </c>
      <c r="I130">
        <v>8</v>
      </c>
      <c r="J130">
        <v>39848</v>
      </c>
    </row>
    <row r="131" spans="1:10" x14ac:dyDescent="0.25">
      <c r="A131">
        <v>130</v>
      </c>
      <c r="B131" s="1">
        <v>44239</v>
      </c>
      <c r="C131" t="s">
        <v>11</v>
      </c>
      <c r="D131" t="s">
        <v>29</v>
      </c>
      <c r="E131">
        <v>480000</v>
      </c>
      <c r="F131">
        <v>44580.9</v>
      </c>
      <c r="G131">
        <v>4800</v>
      </c>
      <c r="H131">
        <v>33</v>
      </c>
      <c r="I131">
        <v>5</v>
      </c>
      <c r="J131">
        <v>6945</v>
      </c>
    </row>
    <row r="132" spans="1:10" x14ac:dyDescent="0.25">
      <c r="A132">
        <v>131</v>
      </c>
      <c r="B132" s="1">
        <v>44239</v>
      </c>
      <c r="C132" t="s">
        <v>12</v>
      </c>
      <c r="D132" t="s">
        <v>28</v>
      </c>
      <c r="E132">
        <v>1200300</v>
      </c>
      <c r="F132">
        <v>308572</v>
      </c>
      <c r="G132">
        <v>12003</v>
      </c>
      <c r="H132">
        <v>412</v>
      </c>
      <c r="I132">
        <v>79</v>
      </c>
      <c r="J132">
        <v>393499</v>
      </c>
    </row>
    <row r="133" spans="1:10" x14ac:dyDescent="0.25">
      <c r="A133">
        <v>132</v>
      </c>
      <c r="B133" s="1">
        <v>44239</v>
      </c>
      <c r="C133" t="s">
        <v>13</v>
      </c>
      <c r="D133" t="s">
        <v>31</v>
      </c>
      <c r="E133">
        <v>10819771</v>
      </c>
      <c r="F133">
        <v>145201</v>
      </c>
      <c r="G133">
        <v>16808</v>
      </c>
      <c r="H133">
        <v>336</v>
      </c>
      <c r="I133">
        <v>49</v>
      </c>
      <c r="J133">
        <v>195069</v>
      </c>
    </row>
    <row r="134" spans="1:10" x14ac:dyDescent="0.25">
      <c r="A134">
        <v>133</v>
      </c>
      <c r="B134" s="1">
        <v>44240</v>
      </c>
      <c r="C134" t="s">
        <v>0</v>
      </c>
      <c r="D134" t="s">
        <v>29</v>
      </c>
      <c r="E134">
        <v>1496322</v>
      </c>
      <c r="F134">
        <v>308692</v>
      </c>
      <c r="G134">
        <v>11990</v>
      </c>
      <c r="H134">
        <v>397</v>
      </c>
      <c r="I134">
        <v>60</v>
      </c>
      <c r="J134">
        <v>341880</v>
      </c>
    </row>
    <row r="135" spans="1:10" x14ac:dyDescent="0.25">
      <c r="A135">
        <v>134</v>
      </c>
      <c r="B135" s="1">
        <v>44240</v>
      </c>
      <c r="C135" t="s">
        <v>2</v>
      </c>
      <c r="D135" t="s">
        <v>29</v>
      </c>
      <c r="E135">
        <v>2358224</v>
      </c>
      <c r="F135">
        <v>325444</v>
      </c>
      <c r="G135">
        <v>16506</v>
      </c>
      <c r="H135">
        <v>655</v>
      </c>
      <c r="I135">
        <v>52</v>
      </c>
      <c r="J135">
        <v>262184</v>
      </c>
    </row>
    <row r="136" spans="1:10" x14ac:dyDescent="0.25">
      <c r="A136">
        <v>135</v>
      </c>
      <c r="B136" s="1">
        <v>44240</v>
      </c>
      <c r="C136" t="s">
        <v>3</v>
      </c>
      <c r="D136" t="s">
        <v>30</v>
      </c>
      <c r="E136">
        <v>225350</v>
      </c>
      <c r="F136">
        <v>61588.1</v>
      </c>
      <c r="G136">
        <v>4507</v>
      </c>
      <c r="H136">
        <v>100</v>
      </c>
      <c r="I136">
        <v>17</v>
      </c>
      <c r="J136">
        <v>152660</v>
      </c>
    </row>
    <row r="137" spans="1:10" x14ac:dyDescent="0.25">
      <c r="A137">
        <v>136</v>
      </c>
      <c r="B137" s="1">
        <v>44240</v>
      </c>
      <c r="C137" t="s">
        <v>5</v>
      </c>
      <c r="D137" t="s">
        <v>30</v>
      </c>
      <c r="E137">
        <v>3452027</v>
      </c>
      <c r="F137">
        <v>216562</v>
      </c>
      <c r="G137">
        <v>12010</v>
      </c>
      <c r="H137">
        <v>378</v>
      </c>
      <c r="I137">
        <v>56</v>
      </c>
      <c r="J137">
        <v>123088</v>
      </c>
    </row>
    <row r="138" spans="1:10" x14ac:dyDescent="0.25">
      <c r="A138">
        <v>137</v>
      </c>
      <c r="B138" s="1">
        <v>44240</v>
      </c>
      <c r="C138" t="s">
        <v>6</v>
      </c>
      <c r="D138" t="s">
        <v>28</v>
      </c>
      <c r="E138">
        <v>2250900</v>
      </c>
      <c r="F138">
        <v>205045</v>
      </c>
      <c r="G138">
        <v>22509</v>
      </c>
      <c r="H138">
        <v>790</v>
      </c>
      <c r="I138">
        <v>158</v>
      </c>
      <c r="J138">
        <v>1296550</v>
      </c>
    </row>
    <row r="139" spans="1:10" x14ac:dyDescent="0.25">
      <c r="A139">
        <v>138</v>
      </c>
      <c r="B139" s="1">
        <v>44240</v>
      </c>
      <c r="C139" t="s">
        <v>8</v>
      </c>
      <c r="D139" t="s">
        <v>29</v>
      </c>
      <c r="E139">
        <v>2698200</v>
      </c>
      <c r="F139">
        <v>88844.800000000003</v>
      </c>
      <c r="G139">
        <v>13491</v>
      </c>
      <c r="H139">
        <v>219</v>
      </c>
      <c r="I139">
        <v>26</v>
      </c>
      <c r="J139">
        <v>176384</v>
      </c>
    </row>
    <row r="140" spans="1:10" x14ac:dyDescent="0.25">
      <c r="A140">
        <v>139</v>
      </c>
      <c r="B140" s="1">
        <v>44240</v>
      </c>
      <c r="C140" t="s">
        <v>9</v>
      </c>
      <c r="D140" t="s">
        <v>29</v>
      </c>
      <c r="E140">
        <v>5100600</v>
      </c>
      <c r="F140">
        <v>16656.8</v>
      </c>
      <c r="G140">
        <v>25503</v>
      </c>
      <c r="H140">
        <v>510</v>
      </c>
      <c r="I140">
        <v>6</v>
      </c>
      <c r="J140">
        <v>10134</v>
      </c>
    </row>
    <row r="141" spans="1:10" x14ac:dyDescent="0.25">
      <c r="A141">
        <v>140</v>
      </c>
      <c r="B141" s="1">
        <v>44240</v>
      </c>
      <c r="C141" t="s">
        <v>10</v>
      </c>
      <c r="D141" t="s">
        <v>29</v>
      </c>
      <c r="E141">
        <v>50333</v>
      </c>
      <c r="F141">
        <v>8367.08</v>
      </c>
      <c r="G141">
        <v>1510</v>
      </c>
      <c r="H141">
        <v>19</v>
      </c>
      <c r="I141">
        <v>4</v>
      </c>
      <c r="J141">
        <v>18828</v>
      </c>
    </row>
    <row r="142" spans="1:10" x14ac:dyDescent="0.25">
      <c r="A142">
        <v>141</v>
      </c>
      <c r="B142" s="1">
        <v>44240</v>
      </c>
      <c r="C142" t="s">
        <v>11</v>
      </c>
      <c r="D142" t="s">
        <v>29</v>
      </c>
      <c r="E142">
        <v>495013</v>
      </c>
      <c r="F142">
        <v>171332</v>
      </c>
      <c r="G142">
        <v>6006</v>
      </c>
      <c r="H142">
        <v>128</v>
      </c>
      <c r="I142">
        <v>19</v>
      </c>
      <c r="J142">
        <v>24035</v>
      </c>
    </row>
    <row r="143" spans="1:10" x14ac:dyDescent="0.25">
      <c r="A143">
        <v>142</v>
      </c>
      <c r="B143" s="1">
        <v>44240</v>
      </c>
      <c r="C143" t="s">
        <v>12</v>
      </c>
      <c r="D143" t="s">
        <v>28</v>
      </c>
      <c r="E143">
        <v>1499200</v>
      </c>
      <c r="F143">
        <v>32770.1</v>
      </c>
      <c r="G143">
        <v>14992</v>
      </c>
      <c r="H143">
        <v>50</v>
      </c>
      <c r="I143">
        <v>8</v>
      </c>
      <c r="J143">
        <v>43976</v>
      </c>
    </row>
    <row r="144" spans="1:10" x14ac:dyDescent="0.25">
      <c r="A144">
        <v>143</v>
      </c>
      <c r="B144" s="1">
        <v>44240</v>
      </c>
      <c r="C144" t="s">
        <v>13</v>
      </c>
      <c r="D144" t="s">
        <v>31</v>
      </c>
      <c r="E144">
        <v>17890507</v>
      </c>
      <c r="F144">
        <v>390105</v>
      </c>
      <c r="G144">
        <v>20993</v>
      </c>
      <c r="H144">
        <v>734</v>
      </c>
      <c r="I144">
        <v>118</v>
      </c>
      <c r="J144">
        <v>353174</v>
      </c>
    </row>
    <row r="145" spans="1:10" x14ac:dyDescent="0.25">
      <c r="A145">
        <v>144</v>
      </c>
      <c r="B145" s="1">
        <v>44241</v>
      </c>
      <c r="C145" t="s">
        <v>0</v>
      </c>
      <c r="D145" t="s">
        <v>29</v>
      </c>
      <c r="E145">
        <v>2452315</v>
      </c>
      <c r="F145">
        <v>60244.9</v>
      </c>
      <c r="G145">
        <v>14406</v>
      </c>
      <c r="H145">
        <v>110</v>
      </c>
      <c r="I145">
        <v>14</v>
      </c>
      <c r="J145">
        <v>63560</v>
      </c>
    </row>
    <row r="146" spans="1:10" x14ac:dyDescent="0.25">
      <c r="A146">
        <v>145</v>
      </c>
      <c r="B146" s="1">
        <v>44241</v>
      </c>
      <c r="C146" t="s">
        <v>2</v>
      </c>
      <c r="D146" t="s">
        <v>29</v>
      </c>
      <c r="E146">
        <v>7936534</v>
      </c>
      <c r="F146">
        <v>197948</v>
      </c>
      <c r="G146">
        <v>19797</v>
      </c>
      <c r="H146">
        <v>396</v>
      </c>
      <c r="I146">
        <v>30</v>
      </c>
      <c r="J146">
        <v>149430</v>
      </c>
    </row>
    <row r="147" spans="1:10" x14ac:dyDescent="0.25">
      <c r="A147">
        <v>146</v>
      </c>
      <c r="B147" s="1">
        <v>44241</v>
      </c>
      <c r="C147" t="s">
        <v>3</v>
      </c>
      <c r="D147" t="s">
        <v>30</v>
      </c>
      <c r="E147">
        <v>263754</v>
      </c>
      <c r="F147">
        <v>56440.3</v>
      </c>
      <c r="G147">
        <v>5409</v>
      </c>
      <c r="H147">
        <v>90</v>
      </c>
      <c r="I147">
        <v>11</v>
      </c>
      <c r="J147">
        <v>84183</v>
      </c>
    </row>
    <row r="148" spans="1:10" x14ac:dyDescent="0.25">
      <c r="A148">
        <v>147</v>
      </c>
      <c r="B148" s="1">
        <v>44241</v>
      </c>
      <c r="C148" t="s">
        <v>5</v>
      </c>
      <c r="D148" t="s">
        <v>30</v>
      </c>
      <c r="E148">
        <v>3111389</v>
      </c>
      <c r="F148">
        <v>196998</v>
      </c>
      <c r="G148">
        <v>14390</v>
      </c>
      <c r="H148">
        <v>498</v>
      </c>
      <c r="I148">
        <v>48</v>
      </c>
      <c r="J148">
        <v>101280</v>
      </c>
    </row>
    <row r="149" spans="1:10" x14ac:dyDescent="0.25">
      <c r="A149">
        <v>148</v>
      </c>
      <c r="B149" s="1">
        <v>44241</v>
      </c>
      <c r="C149" t="s">
        <v>6</v>
      </c>
      <c r="D149" t="s">
        <v>28</v>
      </c>
      <c r="E149">
        <v>2511956</v>
      </c>
      <c r="F149">
        <v>231751</v>
      </c>
      <c r="G149">
        <v>26993</v>
      </c>
      <c r="H149">
        <v>540</v>
      </c>
      <c r="I149">
        <v>85</v>
      </c>
      <c r="J149">
        <v>733550</v>
      </c>
    </row>
    <row r="150" spans="1:10" x14ac:dyDescent="0.25">
      <c r="A150">
        <v>149</v>
      </c>
      <c r="B150" s="1">
        <v>44241</v>
      </c>
      <c r="C150" t="s">
        <v>8</v>
      </c>
      <c r="D150" t="s">
        <v>29</v>
      </c>
      <c r="E150">
        <v>3239400</v>
      </c>
      <c r="F150">
        <v>312844</v>
      </c>
      <c r="G150">
        <v>16197</v>
      </c>
      <c r="H150">
        <v>604</v>
      </c>
      <c r="I150">
        <v>72</v>
      </c>
      <c r="J150">
        <v>377352</v>
      </c>
    </row>
    <row r="151" spans="1:10" x14ac:dyDescent="0.25">
      <c r="A151">
        <v>150</v>
      </c>
      <c r="B151" s="1">
        <v>44241</v>
      </c>
      <c r="C151" t="s">
        <v>9</v>
      </c>
      <c r="D151" t="s">
        <v>29</v>
      </c>
      <c r="E151">
        <v>5130500</v>
      </c>
      <c r="F151">
        <v>218228</v>
      </c>
      <c r="G151">
        <v>30602</v>
      </c>
      <c r="H151">
        <v>935</v>
      </c>
      <c r="I151">
        <v>54</v>
      </c>
      <c r="J151">
        <v>119718</v>
      </c>
    </row>
    <row r="152" spans="1:10" x14ac:dyDescent="0.25">
      <c r="A152">
        <v>151</v>
      </c>
      <c r="B152" s="1">
        <v>44241</v>
      </c>
      <c r="C152" t="s">
        <v>10</v>
      </c>
      <c r="D152" t="s">
        <v>29</v>
      </c>
      <c r="E152">
        <v>55495</v>
      </c>
      <c r="F152">
        <v>4764.34</v>
      </c>
      <c r="G152">
        <v>1790</v>
      </c>
      <c r="H152">
        <v>10</v>
      </c>
      <c r="I152">
        <v>2</v>
      </c>
      <c r="J152">
        <v>10902</v>
      </c>
    </row>
    <row r="153" spans="1:10" x14ac:dyDescent="0.25">
      <c r="A153">
        <v>152</v>
      </c>
      <c r="B153" s="1">
        <v>44241</v>
      </c>
      <c r="C153" t="s">
        <v>11</v>
      </c>
      <c r="D153" t="s">
        <v>29</v>
      </c>
      <c r="E153">
        <v>605220</v>
      </c>
      <c r="F153">
        <v>170719</v>
      </c>
      <c r="G153">
        <v>7205</v>
      </c>
      <c r="H153">
        <v>142</v>
      </c>
      <c r="I153">
        <v>21</v>
      </c>
      <c r="J153">
        <v>14280</v>
      </c>
    </row>
    <row r="154" spans="1:10" x14ac:dyDescent="0.25">
      <c r="A154">
        <v>153</v>
      </c>
      <c r="B154" s="1">
        <v>44241</v>
      </c>
      <c r="C154" t="s">
        <v>12</v>
      </c>
      <c r="D154" t="s">
        <v>28</v>
      </c>
      <c r="E154">
        <v>2429465</v>
      </c>
      <c r="F154">
        <v>205870</v>
      </c>
      <c r="G154">
        <v>17998</v>
      </c>
      <c r="H154">
        <v>354</v>
      </c>
      <c r="I154">
        <v>53</v>
      </c>
      <c r="J154">
        <v>306817</v>
      </c>
    </row>
    <row r="155" spans="1:10" x14ac:dyDescent="0.25">
      <c r="A155">
        <v>154</v>
      </c>
      <c r="B155" s="1">
        <v>44241</v>
      </c>
      <c r="C155" t="s">
        <v>13</v>
      </c>
      <c r="D155" t="s">
        <v>31</v>
      </c>
      <c r="E155">
        <v>7218480</v>
      </c>
      <c r="F155">
        <v>225274</v>
      </c>
      <c r="G155">
        <v>25190</v>
      </c>
      <c r="H155">
        <v>504</v>
      </c>
      <c r="I155">
        <v>76</v>
      </c>
      <c r="J155">
        <v>236056</v>
      </c>
    </row>
    <row r="156" spans="1:10" x14ac:dyDescent="0.25">
      <c r="A156">
        <v>155</v>
      </c>
      <c r="B156" s="1">
        <v>44242</v>
      </c>
      <c r="C156" t="s">
        <v>0</v>
      </c>
      <c r="D156" t="s">
        <v>29</v>
      </c>
      <c r="E156">
        <v>3361800</v>
      </c>
      <c r="F156">
        <v>168064</v>
      </c>
      <c r="G156">
        <v>16809</v>
      </c>
      <c r="H156">
        <v>247</v>
      </c>
      <c r="I156">
        <v>30</v>
      </c>
      <c r="J156">
        <v>149430</v>
      </c>
    </row>
    <row r="157" spans="1:10" x14ac:dyDescent="0.25">
      <c r="A157">
        <v>156</v>
      </c>
      <c r="B157" s="1">
        <v>44242</v>
      </c>
      <c r="C157" t="s">
        <v>2</v>
      </c>
      <c r="D157" t="s">
        <v>29</v>
      </c>
      <c r="E157">
        <v>3441545</v>
      </c>
      <c r="F157">
        <v>593576</v>
      </c>
      <c r="G157">
        <v>23103</v>
      </c>
      <c r="H157">
        <v>694</v>
      </c>
      <c r="I157">
        <v>81</v>
      </c>
      <c r="J157">
        <v>403461</v>
      </c>
    </row>
    <row r="158" spans="1:10" x14ac:dyDescent="0.25">
      <c r="A158">
        <v>157</v>
      </c>
      <c r="B158" s="1">
        <v>44242</v>
      </c>
      <c r="C158" t="s">
        <v>3</v>
      </c>
      <c r="D158" t="s">
        <v>30</v>
      </c>
      <c r="E158">
        <v>315350</v>
      </c>
      <c r="F158">
        <v>82930.7</v>
      </c>
      <c r="G158">
        <v>6307</v>
      </c>
      <c r="H158">
        <v>126</v>
      </c>
      <c r="I158">
        <v>19</v>
      </c>
      <c r="J158">
        <v>138073</v>
      </c>
    </row>
    <row r="159" spans="1:10" x14ac:dyDescent="0.25">
      <c r="A159">
        <v>158</v>
      </c>
      <c r="B159" s="1">
        <v>44242</v>
      </c>
      <c r="C159" t="s">
        <v>5</v>
      </c>
      <c r="D159" t="s">
        <v>30</v>
      </c>
      <c r="E159">
        <v>3359600</v>
      </c>
      <c r="F159">
        <v>124854</v>
      </c>
      <c r="G159">
        <v>16798</v>
      </c>
      <c r="H159">
        <v>336</v>
      </c>
      <c r="I159">
        <v>31</v>
      </c>
      <c r="J159">
        <v>92411</v>
      </c>
    </row>
    <row r="160" spans="1:10" x14ac:dyDescent="0.25">
      <c r="A160">
        <v>159</v>
      </c>
      <c r="B160" s="1">
        <v>44242</v>
      </c>
      <c r="C160" t="s">
        <v>6</v>
      </c>
      <c r="D160" t="s">
        <v>28</v>
      </c>
      <c r="E160">
        <v>2478877</v>
      </c>
      <c r="F160">
        <v>151480</v>
      </c>
      <c r="G160">
        <v>31504</v>
      </c>
      <c r="H160">
        <v>630</v>
      </c>
      <c r="I160">
        <v>98</v>
      </c>
      <c r="J160">
        <v>782138</v>
      </c>
    </row>
    <row r="161" spans="1:10" x14ac:dyDescent="0.25">
      <c r="A161">
        <v>160</v>
      </c>
      <c r="B161" s="1">
        <v>44242</v>
      </c>
      <c r="C161" t="s">
        <v>8</v>
      </c>
      <c r="D161" t="s">
        <v>29</v>
      </c>
      <c r="E161">
        <v>3780200</v>
      </c>
      <c r="F161">
        <v>136269</v>
      </c>
      <c r="G161">
        <v>18901</v>
      </c>
      <c r="H161">
        <v>378</v>
      </c>
      <c r="I161">
        <v>45</v>
      </c>
      <c r="J161">
        <v>269145</v>
      </c>
    </row>
    <row r="162" spans="1:10" x14ac:dyDescent="0.25">
      <c r="A162">
        <v>161</v>
      </c>
      <c r="B162" s="1">
        <v>44242</v>
      </c>
      <c r="C162" t="s">
        <v>9</v>
      </c>
      <c r="D162" t="s">
        <v>29</v>
      </c>
      <c r="E162">
        <v>7138400</v>
      </c>
      <c r="F162">
        <v>37098.6</v>
      </c>
      <c r="G162">
        <v>35692</v>
      </c>
      <c r="H162">
        <v>916</v>
      </c>
      <c r="I162">
        <v>11</v>
      </c>
      <c r="J162">
        <v>21791</v>
      </c>
    </row>
    <row r="163" spans="1:10" x14ac:dyDescent="0.25">
      <c r="A163">
        <v>162</v>
      </c>
      <c r="B163" s="1">
        <v>44242</v>
      </c>
      <c r="C163" t="s">
        <v>10</v>
      </c>
      <c r="D163" t="s">
        <v>29</v>
      </c>
      <c r="E163">
        <v>63986</v>
      </c>
      <c r="F163">
        <v>14609.5</v>
      </c>
      <c r="G163">
        <v>2099</v>
      </c>
      <c r="H163">
        <v>28</v>
      </c>
      <c r="I163">
        <v>5</v>
      </c>
      <c r="J163">
        <v>24905</v>
      </c>
    </row>
    <row r="164" spans="1:10" x14ac:dyDescent="0.25">
      <c r="A164">
        <v>163</v>
      </c>
      <c r="B164" s="1">
        <v>44242</v>
      </c>
      <c r="C164" t="s">
        <v>11</v>
      </c>
      <c r="D164" t="s">
        <v>29</v>
      </c>
      <c r="E164">
        <v>1093435</v>
      </c>
      <c r="F164">
        <v>6587.76</v>
      </c>
      <c r="G164">
        <v>8402</v>
      </c>
      <c r="H164">
        <v>4</v>
      </c>
      <c r="I164">
        <v>1</v>
      </c>
      <c r="J164">
        <v>741</v>
      </c>
    </row>
    <row r="165" spans="1:10" x14ac:dyDescent="0.25">
      <c r="A165">
        <v>164</v>
      </c>
      <c r="B165" s="1">
        <v>44242</v>
      </c>
      <c r="C165" t="s">
        <v>12</v>
      </c>
      <c r="D165" t="s">
        <v>28</v>
      </c>
      <c r="E165">
        <v>2100700</v>
      </c>
      <c r="F165">
        <v>82452</v>
      </c>
      <c r="G165">
        <v>21007</v>
      </c>
      <c r="H165">
        <v>122</v>
      </c>
      <c r="I165">
        <v>24</v>
      </c>
      <c r="J165">
        <v>103392</v>
      </c>
    </row>
    <row r="166" spans="1:10" x14ac:dyDescent="0.25">
      <c r="A166">
        <v>165</v>
      </c>
      <c r="B166" s="1">
        <v>44242</v>
      </c>
      <c r="C166" t="s">
        <v>13</v>
      </c>
      <c r="D166" t="s">
        <v>31</v>
      </c>
      <c r="E166">
        <v>8747458</v>
      </c>
      <c r="F166">
        <v>543275</v>
      </c>
      <c r="G166">
        <v>29390</v>
      </c>
      <c r="H166">
        <v>1061</v>
      </c>
      <c r="I166">
        <v>171</v>
      </c>
      <c r="J166">
        <v>809685</v>
      </c>
    </row>
    <row r="167" spans="1:10" x14ac:dyDescent="0.25">
      <c r="A167">
        <v>166</v>
      </c>
      <c r="B167" s="1">
        <v>44243</v>
      </c>
      <c r="C167" t="s">
        <v>0</v>
      </c>
      <c r="D167" t="s">
        <v>29</v>
      </c>
      <c r="E167">
        <v>3839000</v>
      </c>
      <c r="F167">
        <v>393027</v>
      </c>
      <c r="G167">
        <v>19195</v>
      </c>
      <c r="H167">
        <v>384</v>
      </c>
      <c r="I167">
        <v>64</v>
      </c>
      <c r="J167">
        <v>336448</v>
      </c>
    </row>
    <row r="168" spans="1:10" x14ac:dyDescent="0.25">
      <c r="A168">
        <v>167</v>
      </c>
      <c r="B168" s="1">
        <v>44243</v>
      </c>
      <c r="C168" t="s">
        <v>2</v>
      </c>
      <c r="D168" t="s">
        <v>29</v>
      </c>
      <c r="E168">
        <v>5280000</v>
      </c>
      <c r="F168">
        <v>595176</v>
      </c>
      <c r="G168">
        <v>26400</v>
      </c>
      <c r="H168">
        <v>923</v>
      </c>
      <c r="I168">
        <v>80</v>
      </c>
      <c r="J168">
        <v>392160</v>
      </c>
    </row>
    <row r="169" spans="1:10" x14ac:dyDescent="0.25">
      <c r="A169">
        <v>168</v>
      </c>
      <c r="B169" s="1">
        <v>44243</v>
      </c>
      <c r="C169" t="s">
        <v>3</v>
      </c>
      <c r="D169" t="s">
        <v>30</v>
      </c>
      <c r="E169">
        <v>373184</v>
      </c>
      <c r="F169">
        <v>102053</v>
      </c>
      <c r="G169">
        <v>7198</v>
      </c>
      <c r="H169">
        <v>144</v>
      </c>
      <c r="I169">
        <v>22</v>
      </c>
      <c r="J169">
        <v>185482</v>
      </c>
    </row>
    <row r="170" spans="1:10" x14ac:dyDescent="0.25">
      <c r="A170">
        <v>169</v>
      </c>
      <c r="B170" s="1">
        <v>44243</v>
      </c>
      <c r="C170" t="s">
        <v>5</v>
      </c>
      <c r="D170" t="s">
        <v>30</v>
      </c>
      <c r="E170">
        <v>3841400</v>
      </c>
      <c r="F170">
        <v>271906</v>
      </c>
      <c r="G170">
        <v>19207</v>
      </c>
      <c r="H170">
        <v>666</v>
      </c>
      <c r="I170">
        <v>67</v>
      </c>
      <c r="J170">
        <v>199727</v>
      </c>
    </row>
    <row r="171" spans="1:10" x14ac:dyDescent="0.25">
      <c r="A171">
        <v>170</v>
      </c>
      <c r="B171" s="1">
        <v>44243</v>
      </c>
      <c r="C171" t="s">
        <v>6</v>
      </c>
      <c r="D171" t="s">
        <v>28</v>
      </c>
      <c r="E171">
        <v>4371118</v>
      </c>
      <c r="F171">
        <v>221258</v>
      </c>
      <c r="G171">
        <v>35999</v>
      </c>
      <c r="H171">
        <v>720</v>
      </c>
      <c r="I171">
        <v>128</v>
      </c>
      <c r="J171">
        <v>1021570</v>
      </c>
    </row>
    <row r="172" spans="1:10" x14ac:dyDescent="0.25">
      <c r="A172">
        <v>171</v>
      </c>
      <c r="B172" s="1">
        <v>44243</v>
      </c>
      <c r="C172" t="s">
        <v>8</v>
      </c>
      <c r="D172" t="s">
        <v>29</v>
      </c>
      <c r="E172">
        <v>4319200</v>
      </c>
      <c r="F172">
        <v>143680</v>
      </c>
      <c r="G172">
        <v>21596</v>
      </c>
      <c r="H172">
        <v>432</v>
      </c>
      <c r="I172">
        <v>34</v>
      </c>
      <c r="J172">
        <v>171972</v>
      </c>
    </row>
    <row r="173" spans="1:10" x14ac:dyDescent="0.25">
      <c r="A173">
        <v>172</v>
      </c>
      <c r="B173" s="1">
        <v>44243</v>
      </c>
      <c r="C173" t="s">
        <v>9</v>
      </c>
      <c r="D173" t="s">
        <v>29</v>
      </c>
      <c r="E173">
        <v>15988504</v>
      </c>
      <c r="F173">
        <v>103731</v>
      </c>
      <c r="G173">
        <v>40794</v>
      </c>
      <c r="H173">
        <v>816</v>
      </c>
      <c r="I173">
        <v>24</v>
      </c>
      <c r="J173">
        <v>41424</v>
      </c>
    </row>
    <row r="174" spans="1:10" x14ac:dyDescent="0.25">
      <c r="A174">
        <v>173</v>
      </c>
      <c r="B174" s="1">
        <v>44243</v>
      </c>
      <c r="C174" t="s">
        <v>10</v>
      </c>
      <c r="D174" t="s">
        <v>29</v>
      </c>
      <c r="E174">
        <v>80233</v>
      </c>
      <c r="F174">
        <v>31712</v>
      </c>
      <c r="G174">
        <v>2407</v>
      </c>
      <c r="H174">
        <v>48</v>
      </c>
      <c r="I174">
        <v>12</v>
      </c>
      <c r="J174">
        <v>59772</v>
      </c>
    </row>
    <row r="175" spans="1:10" x14ac:dyDescent="0.25">
      <c r="A175">
        <v>174</v>
      </c>
      <c r="B175" s="1">
        <v>44243</v>
      </c>
      <c r="C175" t="s">
        <v>11</v>
      </c>
      <c r="D175" t="s">
        <v>29</v>
      </c>
      <c r="E175">
        <v>1576818</v>
      </c>
      <c r="F175">
        <v>345629</v>
      </c>
      <c r="G175">
        <v>9597</v>
      </c>
      <c r="H175">
        <v>292</v>
      </c>
      <c r="I175">
        <v>39</v>
      </c>
      <c r="J175">
        <v>25857</v>
      </c>
    </row>
    <row r="176" spans="1:10" x14ac:dyDescent="0.25">
      <c r="A176">
        <v>175</v>
      </c>
      <c r="B176" s="1">
        <v>44243</v>
      </c>
      <c r="C176" t="s">
        <v>12</v>
      </c>
      <c r="D176" t="s">
        <v>28</v>
      </c>
      <c r="E176">
        <v>3937010</v>
      </c>
      <c r="F176">
        <v>620903</v>
      </c>
      <c r="G176">
        <v>23994</v>
      </c>
      <c r="H176">
        <v>833</v>
      </c>
      <c r="I176">
        <v>160</v>
      </c>
      <c r="J176">
        <v>939360</v>
      </c>
    </row>
    <row r="177" spans="1:10" x14ac:dyDescent="0.25">
      <c r="A177">
        <v>176</v>
      </c>
      <c r="B177" s="1">
        <v>44243</v>
      </c>
      <c r="C177" t="s">
        <v>13</v>
      </c>
      <c r="D177" t="s">
        <v>31</v>
      </c>
      <c r="E177">
        <v>56876855</v>
      </c>
      <c r="F177">
        <v>206424</v>
      </c>
      <c r="G177">
        <v>33592</v>
      </c>
      <c r="H177">
        <v>416</v>
      </c>
      <c r="I177">
        <v>62</v>
      </c>
      <c r="J177">
        <v>246822</v>
      </c>
    </row>
    <row r="178" spans="1:10" x14ac:dyDescent="0.25">
      <c r="A178">
        <v>177</v>
      </c>
      <c r="B178" s="1">
        <v>44244</v>
      </c>
      <c r="C178" t="s">
        <v>0</v>
      </c>
      <c r="D178" t="s">
        <v>29</v>
      </c>
      <c r="E178">
        <v>4320600</v>
      </c>
      <c r="F178">
        <v>489831</v>
      </c>
      <c r="G178">
        <v>21603</v>
      </c>
      <c r="H178">
        <v>652</v>
      </c>
      <c r="I178">
        <v>86</v>
      </c>
      <c r="J178">
        <v>428366</v>
      </c>
    </row>
    <row r="179" spans="1:10" x14ac:dyDescent="0.25">
      <c r="A179">
        <v>178</v>
      </c>
      <c r="B179" s="1">
        <v>44244</v>
      </c>
      <c r="C179" t="s">
        <v>2</v>
      </c>
      <c r="D179" t="s">
        <v>29</v>
      </c>
      <c r="E179">
        <v>6102420</v>
      </c>
      <c r="F179">
        <v>403691</v>
      </c>
      <c r="G179">
        <v>29704</v>
      </c>
      <c r="H179">
        <v>594</v>
      </c>
      <c r="I179">
        <v>61</v>
      </c>
      <c r="J179">
        <v>303841</v>
      </c>
    </row>
    <row r="180" spans="1:10" x14ac:dyDescent="0.25">
      <c r="A180">
        <v>179</v>
      </c>
      <c r="B180" s="1">
        <v>44244</v>
      </c>
      <c r="C180" t="s">
        <v>3</v>
      </c>
      <c r="D180" t="s">
        <v>30</v>
      </c>
      <c r="E180">
        <v>490058</v>
      </c>
      <c r="F180">
        <v>116213</v>
      </c>
      <c r="G180">
        <v>8104</v>
      </c>
      <c r="H180">
        <v>162</v>
      </c>
      <c r="I180">
        <v>31</v>
      </c>
      <c r="J180">
        <v>227726</v>
      </c>
    </row>
    <row r="181" spans="1:10" x14ac:dyDescent="0.25">
      <c r="A181">
        <v>180</v>
      </c>
      <c r="B181" s="1">
        <v>44244</v>
      </c>
      <c r="C181" t="s">
        <v>5</v>
      </c>
      <c r="D181" t="s">
        <v>30</v>
      </c>
      <c r="E181">
        <v>4319200</v>
      </c>
      <c r="F181">
        <v>180223</v>
      </c>
      <c r="G181">
        <v>21596</v>
      </c>
      <c r="H181">
        <v>442</v>
      </c>
      <c r="I181">
        <v>44</v>
      </c>
      <c r="J181">
        <v>136708</v>
      </c>
    </row>
    <row r="182" spans="1:10" x14ac:dyDescent="0.25">
      <c r="A182">
        <v>181</v>
      </c>
      <c r="B182" s="1">
        <v>44244</v>
      </c>
      <c r="C182" t="s">
        <v>6</v>
      </c>
      <c r="D182" t="s">
        <v>28</v>
      </c>
      <c r="E182">
        <v>4049400</v>
      </c>
      <c r="F182">
        <v>363811</v>
      </c>
      <c r="G182">
        <v>40494</v>
      </c>
      <c r="H182">
        <v>746</v>
      </c>
      <c r="I182">
        <v>149</v>
      </c>
      <c r="J182">
        <v>1189170</v>
      </c>
    </row>
    <row r="183" spans="1:10" x14ac:dyDescent="0.25">
      <c r="A183">
        <v>182</v>
      </c>
      <c r="B183" s="1">
        <v>44244</v>
      </c>
      <c r="C183" t="s">
        <v>8</v>
      </c>
      <c r="D183" t="s">
        <v>29</v>
      </c>
      <c r="E183">
        <v>4999407</v>
      </c>
      <c r="F183">
        <v>246023</v>
      </c>
      <c r="G183">
        <v>24294</v>
      </c>
      <c r="H183">
        <v>606</v>
      </c>
      <c r="I183">
        <v>73</v>
      </c>
      <c r="J183">
        <v>496546</v>
      </c>
    </row>
    <row r="184" spans="1:10" x14ac:dyDescent="0.25">
      <c r="A184">
        <v>183</v>
      </c>
      <c r="B184" s="1">
        <v>44244</v>
      </c>
      <c r="C184" t="s">
        <v>9</v>
      </c>
      <c r="D184" t="s">
        <v>29</v>
      </c>
      <c r="E184">
        <v>32964848</v>
      </c>
      <c r="F184">
        <v>162819</v>
      </c>
      <c r="G184">
        <v>45907</v>
      </c>
      <c r="H184">
        <v>974</v>
      </c>
      <c r="I184">
        <v>46</v>
      </c>
      <c r="J184">
        <v>121900</v>
      </c>
    </row>
    <row r="185" spans="1:10" x14ac:dyDescent="0.25">
      <c r="A185">
        <v>184</v>
      </c>
      <c r="B185" s="1">
        <v>44244</v>
      </c>
      <c r="C185" t="s">
        <v>10</v>
      </c>
      <c r="D185" t="s">
        <v>29</v>
      </c>
      <c r="E185">
        <v>84332</v>
      </c>
      <c r="F185">
        <v>31422.5</v>
      </c>
      <c r="G185">
        <v>2698</v>
      </c>
      <c r="H185">
        <v>54</v>
      </c>
      <c r="I185">
        <v>11</v>
      </c>
      <c r="J185">
        <v>45441</v>
      </c>
    </row>
    <row r="186" spans="1:10" x14ac:dyDescent="0.25">
      <c r="A186">
        <v>185</v>
      </c>
      <c r="B186" s="1">
        <v>44244</v>
      </c>
      <c r="C186" t="s">
        <v>11</v>
      </c>
      <c r="D186" t="s">
        <v>29</v>
      </c>
      <c r="E186">
        <v>1361187</v>
      </c>
      <c r="F186">
        <v>291254</v>
      </c>
      <c r="G186">
        <v>10810</v>
      </c>
      <c r="H186">
        <v>216</v>
      </c>
      <c r="I186">
        <v>32</v>
      </c>
      <c r="J186">
        <v>31392</v>
      </c>
    </row>
    <row r="187" spans="1:10" x14ac:dyDescent="0.25">
      <c r="A187">
        <v>186</v>
      </c>
      <c r="B187" s="1">
        <v>44244</v>
      </c>
      <c r="C187" t="s">
        <v>12</v>
      </c>
      <c r="D187" t="s">
        <v>28</v>
      </c>
      <c r="E187">
        <v>2795511</v>
      </c>
      <c r="F187">
        <v>462606</v>
      </c>
      <c r="G187">
        <v>26990</v>
      </c>
      <c r="H187">
        <v>795</v>
      </c>
      <c r="I187">
        <v>119</v>
      </c>
      <c r="J187">
        <v>592739</v>
      </c>
    </row>
    <row r="188" spans="1:10" x14ac:dyDescent="0.25">
      <c r="A188">
        <v>187</v>
      </c>
      <c r="B188" s="1">
        <v>44244</v>
      </c>
      <c r="C188" t="s">
        <v>13</v>
      </c>
      <c r="D188" t="s">
        <v>31</v>
      </c>
      <c r="E188">
        <v>16553044</v>
      </c>
      <c r="F188">
        <v>523398</v>
      </c>
      <c r="G188">
        <v>37805</v>
      </c>
      <c r="H188">
        <v>756</v>
      </c>
      <c r="I188">
        <v>142</v>
      </c>
      <c r="J188">
        <v>565302</v>
      </c>
    </row>
    <row r="189" spans="1:10" x14ac:dyDescent="0.25">
      <c r="A189">
        <v>188</v>
      </c>
      <c r="B189" s="1">
        <v>44245</v>
      </c>
      <c r="C189" t="s">
        <v>0</v>
      </c>
      <c r="D189" t="s">
        <v>29</v>
      </c>
      <c r="E189">
        <v>4798200</v>
      </c>
      <c r="F189">
        <v>30892.2</v>
      </c>
      <c r="G189">
        <v>23991</v>
      </c>
      <c r="H189">
        <v>61</v>
      </c>
      <c r="I189">
        <v>6</v>
      </c>
      <c r="J189">
        <v>25686</v>
      </c>
    </row>
    <row r="190" spans="1:10" x14ac:dyDescent="0.25">
      <c r="A190">
        <v>189</v>
      </c>
      <c r="B190" s="1">
        <v>44245</v>
      </c>
      <c r="C190" t="s">
        <v>2</v>
      </c>
      <c r="D190" t="s">
        <v>29</v>
      </c>
      <c r="E190">
        <v>4678356</v>
      </c>
      <c r="F190">
        <v>373294</v>
      </c>
      <c r="G190">
        <v>33003</v>
      </c>
      <c r="H190">
        <v>1313</v>
      </c>
      <c r="I190">
        <v>51</v>
      </c>
      <c r="J190">
        <v>237711</v>
      </c>
    </row>
    <row r="191" spans="1:10" x14ac:dyDescent="0.25">
      <c r="A191">
        <v>190</v>
      </c>
      <c r="B191" s="1">
        <v>44245</v>
      </c>
      <c r="C191" t="s">
        <v>3</v>
      </c>
      <c r="D191" t="s">
        <v>30</v>
      </c>
      <c r="E191">
        <v>527210</v>
      </c>
      <c r="F191">
        <v>119542</v>
      </c>
      <c r="G191">
        <v>9004</v>
      </c>
      <c r="H191">
        <v>162</v>
      </c>
      <c r="I191">
        <v>28</v>
      </c>
      <c r="J191">
        <v>214368</v>
      </c>
    </row>
    <row r="192" spans="1:10" x14ac:dyDescent="0.25">
      <c r="A192">
        <v>191</v>
      </c>
      <c r="B192" s="1">
        <v>44245</v>
      </c>
      <c r="C192" t="s">
        <v>5</v>
      </c>
      <c r="D192" t="s">
        <v>30</v>
      </c>
      <c r="E192">
        <v>10593685</v>
      </c>
      <c r="F192">
        <v>200986</v>
      </c>
      <c r="G192">
        <v>24005</v>
      </c>
      <c r="H192">
        <v>480</v>
      </c>
      <c r="I192">
        <v>43</v>
      </c>
      <c r="J192">
        <v>93353</v>
      </c>
    </row>
    <row r="193" spans="1:10" x14ac:dyDescent="0.25">
      <c r="A193">
        <v>192</v>
      </c>
      <c r="B193" s="1">
        <v>44245</v>
      </c>
      <c r="C193" t="s">
        <v>6</v>
      </c>
      <c r="D193" t="s">
        <v>28</v>
      </c>
      <c r="E193">
        <v>4064081</v>
      </c>
      <c r="F193">
        <v>86522.9</v>
      </c>
      <c r="G193">
        <v>45004</v>
      </c>
      <c r="H193">
        <v>144</v>
      </c>
      <c r="I193">
        <v>31</v>
      </c>
      <c r="J193">
        <v>256897</v>
      </c>
    </row>
    <row r="194" spans="1:10" x14ac:dyDescent="0.25">
      <c r="A194">
        <v>193</v>
      </c>
      <c r="B194" s="1">
        <v>44245</v>
      </c>
      <c r="C194" t="s">
        <v>8</v>
      </c>
      <c r="D194" t="s">
        <v>29</v>
      </c>
      <c r="E194">
        <v>11212959</v>
      </c>
      <c r="F194">
        <v>241388</v>
      </c>
      <c r="G194">
        <v>27009</v>
      </c>
      <c r="H194">
        <v>599</v>
      </c>
      <c r="I194">
        <v>72</v>
      </c>
      <c r="J194">
        <v>430632</v>
      </c>
    </row>
    <row r="195" spans="1:10" x14ac:dyDescent="0.25">
      <c r="A195">
        <v>194</v>
      </c>
      <c r="B195" s="1">
        <v>44245</v>
      </c>
      <c r="C195" t="s">
        <v>9</v>
      </c>
      <c r="D195" t="s">
        <v>29</v>
      </c>
      <c r="E195">
        <v>13281923</v>
      </c>
      <c r="F195">
        <v>58596.4</v>
      </c>
      <c r="G195">
        <v>51000</v>
      </c>
      <c r="H195">
        <v>1020</v>
      </c>
      <c r="I195">
        <v>16</v>
      </c>
      <c r="J195">
        <v>36016</v>
      </c>
    </row>
    <row r="196" spans="1:10" x14ac:dyDescent="0.25">
      <c r="A196">
        <v>195</v>
      </c>
      <c r="B196" s="1">
        <v>44245</v>
      </c>
      <c r="C196" t="s">
        <v>10</v>
      </c>
      <c r="D196" t="s">
        <v>29</v>
      </c>
      <c r="E196">
        <v>97885</v>
      </c>
      <c r="F196">
        <v>17176.7</v>
      </c>
      <c r="G196">
        <v>2991</v>
      </c>
      <c r="H196">
        <v>28</v>
      </c>
      <c r="I196">
        <v>6</v>
      </c>
      <c r="J196">
        <v>33930</v>
      </c>
    </row>
    <row r="197" spans="1:10" x14ac:dyDescent="0.25">
      <c r="A197">
        <v>196</v>
      </c>
      <c r="B197" s="1">
        <v>44245</v>
      </c>
      <c r="C197" t="s">
        <v>11</v>
      </c>
      <c r="D197" t="s">
        <v>29</v>
      </c>
      <c r="E197">
        <v>1181224</v>
      </c>
      <c r="F197">
        <v>171831</v>
      </c>
      <c r="G197">
        <v>11991</v>
      </c>
      <c r="H197">
        <v>128</v>
      </c>
      <c r="I197">
        <v>19</v>
      </c>
      <c r="J197">
        <v>17917</v>
      </c>
    </row>
    <row r="198" spans="1:10" x14ac:dyDescent="0.25">
      <c r="A198">
        <v>197</v>
      </c>
      <c r="B198" s="1">
        <v>44245</v>
      </c>
      <c r="C198" t="s">
        <v>12</v>
      </c>
      <c r="D198" t="s">
        <v>28</v>
      </c>
      <c r="E198">
        <v>2482796</v>
      </c>
      <c r="F198">
        <v>518530</v>
      </c>
      <c r="G198">
        <v>30000</v>
      </c>
      <c r="H198">
        <v>1032</v>
      </c>
      <c r="I198">
        <v>134</v>
      </c>
      <c r="J198">
        <v>796630</v>
      </c>
    </row>
    <row r="199" spans="1:10" x14ac:dyDescent="0.25">
      <c r="A199">
        <v>198</v>
      </c>
      <c r="B199" s="1">
        <v>44245</v>
      </c>
      <c r="C199" t="s">
        <v>13</v>
      </c>
      <c r="D199" t="s">
        <v>31</v>
      </c>
      <c r="E199">
        <v>419970000</v>
      </c>
      <c r="F199">
        <v>339735</v>
      </c>
      <c r="G199">
        <v>41997</v>
      </c>
      <c r="H199">
        <v>840</v>
      </c>
      <c r="I199">
        <v>114</v>
      </c>
      <c r="J199">
        <v>516420</v>
      </c>
    </row>
    <row r="200" spans="1:10" x14ac:dyDescent="0.25">
      <c r="A200">
        <v>199</v>
      </c>
      <c r="B200" s="1">
        <v>44246</v>
      </c>
      <c r="C200" t="s">
        <v>0</v>
      </c>
      <c r="D200" t="s">
        <v>29</v>
      </c>
      <c r="E200">
        <v>15345139</v>
      </c>
      <c r="F200">
        <v>53253.9</v>
      </c>
      <c r="G200">
        <v>26407</v>
      </c>
      <c r="H200">
        <v>71</v>
      </c>
      <c r="I200">
        <v>10</v>
      </c>
      <c r="J200">
        <v>44550</v>
      </c>
    </row>
    <row r="201" spans="1:10" x14ac:dyDescent="0.25">
      <c r="A201">
        <v>200</v>
      </c>
      <c r="B201" s="1">
        <v>44246</v>
      </c>
      <c r="C201" t="s">
        <v>2</v>
      </c>
      <c r="D201" t="s">
        <v>29</v>
      </c>
      <c r="E201">
        <v>7260800</v>
      </c>
      <c r="F201">
        <v>415376</v>
      </c>
      <c r="G201">
        <v>36304</v>
      </c>
      <c r="H201">
        <v>726</v>
      </c>
      <c r="I201">
        <v>58</v>
      </c>
      <c r="J201">
        <v>288898</v>
      </c>
    </row>
    <row r="202" spans="1:10" x14ac:dyDescent="0.25">
      <c r="A202">
        <v>201</v>
      </c>
      <c r="B202" s="1">
        <v>44246</v>
      </c>
      <c r="C202" t="s">
        <v>3</v>
      </c>
      <c r="D202" t="s">
        <v>30</v>
      </c>
      <c r="E202">
        <v>413291</v>
      </c>
      <c r="F202">
        <v>9777.5499999999993</v>
      </c>
      <c r="G202">
        <v>9904</v>
      </c>
      <c r="H202">
        <v>14</v>
      </c>
      <c r="I202">
        <v>2</v>
      </c>
      <c r="J202">
        <v>15962</v>
      </c>
    </row>
    <row r="203" spans="1:10" x14ac:dyDescent="0.25">
      <c r="A203">
        <v>202</v>
      </c>
      <c r="B203" s="1">
        <v>44246</v>
      </c>
      <c r="C203" t="s">
        <v>5</v>
      </c>
      <c r="D203" t="s">
        <v>30</v>
      </c>
      <c r="E203">
        <v>8455475</v>
      </c>
      <c r="F203">
        <v>81623.5</v>
      </c>
      <c r="G203">
        <v>26406</v>
      </c>
      <c r="H203">
        <v>281</v>
      </c>
      <c r="I203">
        <v>20</v>
      </c>
      <c r="J203">
        <v>72300</v>
      </c>
    </row>
    <row r="204" spans="1:10" x14ac:dyDescent="0.25">
      <c r="A204">
        <v>203</v>
      </c>
      <c r="B204" s="1">
        <v>44246</v>
      </c>
      <c r="C204" t="s">
        <v>6</v>
      </c>
      <c r="D204" t="s">
        <v>28</v>
      </c>
      <c r="E204">
        <v>3801165</v>
      </c>
      <c r="F204">
        <v>880357</v>
      </c>
      <c r="G204">
        <v>49510</v>
      </c>
      <c r="H204">
        <v>1666</v>
      </c>
      <c r="I204">
        <v>369</v>
      </c>
      <c r="J204">
        <v>2812520</v>
      </c>
    </row>
    <row r="205" spans="1:10" x14ac:dyDescent="0.25">
      <c r="A205">
        <v>204</v>
      </c>
      <c r="B205" s="1">
        <v>44246</v>
      </c>
      <c r="C205" t="s">
        <v>8</v>
      </c>
      <c r="D205" t="s">
        <v>29</v>
      </c>
      <c r="E205">
        <v>6168252</v>
      </c>
      <c r="F205">
        <v>300775</v>
      </c>
      <c r="G205">
        <v>29699</v>
      </c>
      <c r="H205">
        <v>1082</v>
      </c>
      <c r="I205">
        <v>96</v>
      </c>
      <c r="J205">
        <v>574176</v>
      </c>
    </row>
    <row r="206" spans="1:10" x14ac:dyDescent="0.25">
      <c r="A206">
        <v>205</v>
      </c>
      <c r="B206" s="1">
        <v>44246</v>
      </c>
      <c r="C206" t="s">
        <v>9</v>
      </c>
      <c r="D206" t="s">
        <v>29</v>
      </c>
      <c r="E206">
        <v>11222000</v>
      </c>
      <c r="F206">
        <v>9908.98</v>
      </c>
      <c r="G206">
        <v>56110</v>
      </c>
      <c r="H206">
        <v>185</v>
      </c>
      <c r="I206">
        <v>3</v>
      </c>
      <c r="J206">
        <v>3621</v>
      </c>
    </row>
    <row r="207" spans="1:10" x14ac:dyDescent="0.25">
      <c r="A207">
        <v>206</v>
      </c>
      <c r="B207" s="1">
        <v>44246</v>
      </c>
      <c r="C207" t="s">
        <v>10</v>
      </c>
      <c r="D207" t="s">
        <v>29</v>
      </c>
      <c r="E207">
        <v>115166</v>
      </c>
      <c r="F207">
        <v>3173.41</v>
      </c>
      <c r="G207">
        <v>3297</v>
      </c>
      <c r="H207">
        <v>7</v>
      </c>
      <c r="I207">
        <v>1</v>
      </c>
      <c r="J207">
        <v>5199</v>
      </c>
    </row>
    <row r="208" spans="1:10" x14ac:dyDescent="0.25">
      <c r="A208">
        <v>207</v>
      </c>
      <c r="B208" s="1">
        <v>44246</v>
      </c>
      <c r="C208" t="s">
        <v>11</v>
      </c>
      <c r="D208" t="s">
        <v>29</v>
      </c>
      <c r="E208">
        <v>1320200</v>
      </c>
      <c r="F208">
        <v>440355</v>
      </c>
      <c r="G208">
        <v>13202</v>
      </c>
      <c r="H208">
        <v>264</v>
      </c>
      <c r="I208">
        <v>45</v>
      </c>
      <c r="J208">
        <v>80325</v>
      </c>
    </row>
    <row r="209" spans="1:10" x14ac:dyDescent="0.25">
      <c r="A209">
        <v>208</v>
      </c>
      <c r="B209" s="1">
        <v>44246</v>
      </c>
      <c r="C209" t="s">
        <v>12</v>
      </c>
      <c r="D209" t="s">
        <v>28</v>
      </c>
      <c r="E209">
        <v>3299900</v>
      </c>
      <c r="F209">
        <v>404285</v>
      </c>
      <c r="G209">
        <v>32999</v>
      </c>
      <c r="H209">
        <v>694</v>
      </c>
      <c r="I209">
        <v>104</v>
      </c>
      <c r="J209">
        <v>519272</v>
      </c>
    </row>
    <row r="210" spans="1:10" x14ac:dyDescent="0.25">
      <c r="A210">
        <v>209</v>
      </c>
      <c r="B210" s="1">
        <v>44246</v>
      </c>
      <c r="C210" t="s">
        <v>13</v>
      </c>
      <c r="D210" t="s">
        <v>31</v>
      </c>
      <c r="E210">
        <v>19065489</v>
      </c>
      <c r="F210">
        <v>492126</v>
      </c>
      <c r="G210">
        <v>46209</v>
      </c>
      <c r="H210">
        <v>924</v>
      </c>
      <c r="I210">
        <v>139</v>
      </c>
      <c r="J210">
        <v>556417</v>
      </c>
    </row>
    <row r="211" spans="1:10" x14ac:dyDescent="0.25">
      <c r="A211">
        <v>210</v>
      </c>
      <c r="B211" s="1">
        <v>44247</v>
      </c>
      <c r="C211" t="s">
        <v>0</v>
      </c>
      <c r="D211" t="s">
        <v>29</v>
      </c>
      <c r="E211">
        <v>9916906</v>
      </c>
      <c r="F211">
        <v>56874.2</v>
      </c>
      <c r="G211">
        <v>28796</v>
      </c>
      <c r="H211">
        <v>88</v>
      </c>
      <c r="I211">
        <v>12</v>
      </c>
      <c r="J211">
        <v>59772</v>
      </c>
    </row>
    <row r="212" spans="1:10" x14ac:dyDescent="0.25">
      <c r="A212">
        <v>211</v>
      </c>
      <c r="B212" s="1">
        <v>44247</v>
      </c>
      <c r="C212" t="s">
        <v>2</v>
      </c>
      <c r="D212" t="s">
        <v>29</v>
      </c>
      <c r="E212">
        <v>7918600</v>
      </c>
      <c r="F212">
        <v>455831</v>
      </c>
      <c r="G212">
        <v>39593</v>
      </c>
      <c r="H212">
        <v>853</v>
      </c>
      <c r="I212">
        <v>68</v>
      </c>
      <c r="J212">
        <v>387124</v>
      </c>
    </row>
    <row r="213" spans="1:10" x14ac:dyDescent="0.25">
      <c r="A213">
        <v>212</v>
      </c>
      <c r="B213" s="1">
        <v>44247</v>
      </c>
      <c r="C213" t="s">
        <v>3</v>
      </c>
      <c r="D213" t="s">
        <v>30</v>
      </c>
      <c r="E213">
        <v>540450</v>
      </c>
      <c r="F213">
        <v>190469</v>
      </c>
      <c r="G213">
        <v>10809</v>
      </c>
      <c r="H213">
        <v>359</v>
      </c>
      <c r="I213">
        <v>47</v>
      </c>
      <c r="J213">
        <v>365378</v>
      </c>
    </row>
    <row r="214" spans="1:10" x14ac:dyDescent="0.25">
      <c r="A214">
        <v>213</v>
      </c>
      <c r="B214" s="1">
        <v>44247</v>
      </c>
      <c r="C214" t="s">
        <v>5</v>
      </c>
      <c r="D214" t="s">
        <v>30</v>
      </c>
      <c r="E214">
        <v>5762000</v>
      </c>
      <c r="F214">
        <v>435770</v>
      </c>
      <c r="G214">
        <v>28810</v>
      </c>
      <c r="H214">
        <v>732</v>
      </c>
      <c r="I214">
        <v>96</v>
      </c>
      <c r="J214">
        <v>253440</v>
      </c>
    </row>
    <row r="215" spans="1:10" x14ac:dyDescent="0.25">
      <c r="A215">
        <v>214</v>
      </c>
      <c r="B215" s="1">
        <v>44247</v>
      </c>
      <c r="C215" t="s">
        <v>6</v>
      </c>
      <c r="D215" t="s">
        <v>28</v>
      </c>
      <c r="E215">
        <v>5399300</v>
      </c>
      <c r="F215">
        <v>303860</v>
      </c>
      <c r="G215">
        <v>53993</v>
      </c>
      <c r="H215">
        <v>1094</v>
      </c>
      <c r="I215">
        <v>182</v>
      </c>
      <c r="J215">
        <v>1452540</v>
      </c>
    </row>
    <row r="216" spans="1:10" x14ac:dyDescent="0.25">
      <c r="A216">
        <v>215</v>
      </c>
      <c r="B216" s="1">
        <v>44247</v>
      </c>
      <c r="C216" t="s">
        <v>8</v>
      </c>
      <c r="D216" t="s">
        <v>29</v>
      </c>
      <c r="E216">
        <v>7669421</v>
      </c>
      <c r="F216">
        <v>404737</v>
      </c>
      <c r="G216">
        <v>32395</v>
      </c>
      <c r="H216">
        <v>1003</v>
      </c>
      <c r="I216">
        <v>139</v>
      </c>
      <c r="J216">
        <v>847066</v>
      </c>
    </row>
    <row r="217" spans="1:10" x14ac:dyDescent="0.25">
      <c r="A217">
        <v>216</v>
      </c>
      <c r="B217" s="1">
        <v>44247</v>
      </c>
      <c r="C217" t="s">
        <v>9</v>
      </c>
      <c r="D217" t="s">
        <v>29</v>
      </c>
      <c r="E217">
        <v>12239000</v>
      </c>
      <c r="F217">
        <v>150065</v>
      </c>
      <c r="G217">
        <v>61195</v>
      </c>
      <c r="H217">
        <v>1224</v>
      </c>
      <c r="I217">
        <v>48</v>
      </c>
      <c r="J217">
        <v>73392</v>
      </c>
    </row>
    <row r="218" spans="1:10" x14ac:dyDescent="0.25">
      <c r="A218">
        <v>217</v>
      </c>
      <c r="B218" s="1">
        <v>44247</v>
      </c>
      <c r="C218" t="s">
        <v>10</v>
      </c>
      <c r="D218" t="s">
        <v>29</v>
      </c>
      <c r="E218">
        <v>111784</v>
      </c>
      <c r="F218">
        <v>73587.5</v>
      </c>
      <c r="G218">
        <v>3594</v>
      </c>
      <c r="H218">
        <v>116</v>
      </c>
      <c r="I218">
        <v>24</v>
      </c>
      <c r="J218">
        <v>119544</v>
      </c>
    </row>
    <row r="219" spans="1:10" x14ac:dyDescent="0.25">
      <c r="A219">
        <v>218</v>
      </c>
      <c r="B219" s="1">
        <v>44247</v>
      </c>
      <c r="C219" t="s">
        <v>11</v>
      </c>
      <c r="D219" t="s">
        <v>29</v>
      </c>
      <c r="E219">
        <v>1118531</v>
      </c>
      <c r="F219">
        <v>173041</v>
      </c>
      <c r="G219">
        <v>14399</v>
      </c>
      <c r="H219">
        <v>113</v>
      </c>
      <c r="I219">
        <v>18</v>
      </c>
      <c r="J219">
        <v>17658</v>
      </c>
    </row>
    <row r="220" spans="1:10" x14ac:dyDescent="0.25">
      <c r="A220">
        <v>219</v>
      </c>
      <c r="B220" s="1">
        <v>44247</v>
      </c>
      <c r="C220" t="s">
        <v>12</v>
      </c>
      <c r="D220" t="s">
        <v>28</v>
      </c>
      <c r="E220">
        <v>5497354</v>
      </c>
      <c r="F220">
        <v>504576</v>
      </c>
      <c r="G220">
        <v>35994</v>
      </c>
      <c r="H220">
        <v>822</v>
      </c>
      <c r="I220">
        <v>137</v>
      </c>
      <c r="J220">
        <v>682397</v>
      </c>
    </row>
    <row r="221" spans="1:10" x14ac:dyDescent="0.25">
      <c r="A221">
        <v>220</v>
      </c>
      <c r="B221" s="1">
        <v>44247</v>
      </c>
      <c r="C221" t="s">
        <v>13</v>
      </c>
      <c r="D221" t="s">
        <v>31</v>
      </c>
      <c r="E221">
        <v>26012342</v>
      </c>
      <c r="F221">
        <v>750361</v>
      </c>
      <c r="G221">
        <v>50408</v>
      </c>
      <c r="H221">
        <v>1678</v>
      </c>
      <c r="I221">
        <v>252</v>
      </c>
      <c r="J221">
        <v>1003210</v>
      </c>
    </row>
    <row r="222" spans="1:10" x14ac:dyDescent="0.25">
      <c r="A222">
        <v>221</v>
      </c>
      <c r="B222" s="1">
        <v>44248</v>
      </c>
      <c r="C222" t="s">
        <v>0</v>
      </c>
      <c r="D222" t="s">
        <v>29</v>
      </c>
      <c r="E222">
        <v>478600</v>
      </c>
      <c r="F222">
        <v>38596.699999999997</v>
      </c>
      <c r="G222">
        <v>2393</v>
      </c>
      <c r="H222">
        <v>66</v>
      </c>
      <c r="I222">
        <v>7</v>
      </c>
      <c r="J222">
        <v>31094</v>
      </c>
    </row>
    <row r="223" spans="1:10" x14ac:dyDescent="0.25">
      <c r="A223">
        <v>222</v>
      </c>
      <c r="B223" s="1">
        <v>44248</v>
      </c>
      <c r="C223" t="s">
        <v>2</v>
      </c>
      <c r="D223" t="s">
        <v>29</v>
      </c>
      <c r="E223">
        <v>543787</v>
      </c>
      <c r="F223">
        <v>39481</v>
      </c>
      <c r="G223">
        <v>3299</v>
      </c>
      <c r="H223">
        <v>113</v>
      </c>
      <c r="I223">
        <v>6</v>
      </c>
      <c r="J223">
        <v>29538</v>
      </c>
    </row>
    <row r="224" spans="1:10" x14ac:dyDescent="0.25">
      <c r="A224">
        <v>223</v>
      </c>
      <c r="B224" s="1">
        <v>44248</v>
      </c>
      <c r="C224" t="s">
        <v>3</v>
      </c>
      <c r="D224" t="s">
        <v>30</v>
      </c>
      <c r="E224">
        <v>49655</v>
      </c>
      <c r="F224">
        <v>9444.1200000000008</v>
      </c>
      <c r="G224">
        <v>907</v>
      </c>
      <c r="H224">
        <v>18</v>
      </c>
      <c r="I224">
        <v>2</v>
      </c>
      <c r="J224">
        <v>15962</v>
      </c>
    </row>
    <row r="225" spans="1:10" x14ac:dyDescent="0.25">
      <c r="A225">
        <v>224</v>
      </c>
      <c r="B225" s="1">
        <v>44248</v>
      </c>
      <c r="C225" t="s">
        <v>5</v>
      </c>
      <c r="D225" t="s">
        <v>30</v>
      </c>
      <c r="E225">
        <v>478400</v>
      </c>
      <c r="F225">
        <v>17476.2</v>
      </c>
      <c r="G225">
        <v>2392</v>
      </c>
      <c r="H225">
        <v>48</v>
      </c>
      <c r="I225">
        <v>5</v>
      </c>
      <c r="J225">
        <v>12910</v>
      </c>
    </row>
    <row r="226" spans="1:10" x14ac:dyDescent="0.25">
      <c r="A226">
        <v>225</v>
      </c>
      <c r="B226" s="1">
        <v>44248</v>
      </c>
      <c r="C226" t="s">
        <v>6</v>
      </c>
      <c r="D226" t="s">
        <v>28</v>
      </c>
      <c r="E226">
        <v>713896</v>
      </c>
      <c r="F226">
        <v>30801</v>
      </c>
      <c r="G226">
        <v>4507</v>
      </c>
      <c r="H226">
        <v>90</v>
      </c>
      <c r="I226">
        <v>20</v>
      </c>
      <c r="J226">
        <v>159620</v>
      </c>
    </row>
    <row r="227" spans="1:10" x14ac:dyDescent="0.25">
      <c r="A227">
        <v>226</v>
      </c>
      <c r="B227" s="1">
        <v>44248</v>
      </c>
      <c r="C227" t="s">
        <v>8</v>
      </c>
      <c r="D227" t="s">
        <v>29</v>
      </c>
      <c r="E227">
        <v>555915</v>
      </c>
      <c r="F227">
        <v>29457.5</v>
      </c>
      <c r="G227">
        <v>2709</v>
      </c>
      <c r="H227">
        <v>60</v>
      </c>
      <c r="I227">
        <v>10</v>
      </c>
      <c r="J227">
        <v>55540</v>
      </c>
    </row>
    <row r="228" spans="1:10" x14ac:dyDescent="0.25">
      <c r="A228">
        <v>227</v>
      </c>
      <c r="B228" s="1">
        <v>44248</v>
      </c>
      <c r="C228" t="s">
        <v>9</v>
      </c>
      <c r="D228" t="s">
        <v>29</v>
      </c>
      <c r="E228">
        <v>781353</v>
      </c>
      <c r="F228">
        <v>12503.5</v>
      </c>
      <c r="G228">
        <v>5104</v>
      </c>
      <c r="H228">
        <v>102</v>
      </c>
      <c r="I228">
        <v>4</v>
      </c>
      <c r="J228">
        <v>7924</v>
      </c>
    </row>
    <row r="229" spans="1:10" x14ac:dyDescent="0.25">
      <c r="A229">
        <v>228</v>
      </c>
      <c r="B229" s="1">
        <v>44248</v>
      </c>
      <c r="C229" t="s">
        <v>10</v>
      </c>
      <c r="D229" t="s">
        <v>29</v>
      </c>
      <c r="E229">
        <v>10812</v>
      </c>
      <c r="F229">
        <v>1555.96</v>
      </c>
      <c r="G229">
        <v>296</v>
      </c>
      <c r="H229">
        <v>3</v>
      </c>
      <c r="I229">
        <v>1</v>
      </c>
      <c r="J229">
        <v>3993</v>
      </c>
    </row>
    <row r="230" spans="1:10" x14ac:dyDescent="0.25">
      <c r="A230">
        <v>229</v>
      </c>
      <c r="B230" s="1">
        <v>44248</v>
      </c>
      <c r="C230" t="s">
        <v>11</v>
      </c>
      <c r="D230" t="s">
        <v>29</v>
      </c>
      <c r="E230">
        <v>119400</v>
      </c>
      <c r="F230">
        <v>32169.9</v>
      </c>
      <c r="G230">
        <v>1194</v>
      </c>
      <c r="H230">
        <v>24</v>
      </c>
      <c r="I230">
        <v>4</v>
      </c>
      <c r="J230">
        <v>3924</v>
      </c>
    </row>
    <row r="231" spans="1:10" x14ac:dyDescent="0.25">
      <c r="A231">
        <v>230</v>
      </c>
      <c r="B231" s="1">
        <v>44248</v>
      </c>
      <c r="C231" t="s">
        <v>12</v>
      </c>
      <c r="D231" t="s">
        <v>28</v>
      </c>
      <c r="E231">
        <v>300900</v>
      </c>
      <c r="F231">
        <v>65006.3</v>
      </c>
      <c r="G231">
        <v>3009</v>
      </c>
      <c r="H231">
        <v>89</v>
      </c>
      <c r="I231">
        <v>17</v>
      </c>
      <c r="J231">
        <v>84677</v>
      </c>
    </row>
    <row r="232" spans="1:10" x14ac:dyDescent="0.25">
      <c r="A232">
        <v>231</v>
      </c>
      <c r="B232" s="1">
        <v>44248</v>
      </c>
      <c r="C232" t="s">
        <v>13</v>
      </c>
      <c r="D232" t="s">
        <v>31</v>
      </c>
      <c r="E232">
        <v>42080000</v>
      </c>
      <c r="F232">
        <v>25023.200000000001</v>
      </c>
      <c r="G232">
        <v>4208</v>
      </c>
      <c r="H232">
        <v>67</v>
      </c>
      <c r="I232">
        <v>10</v>
      </c>
      <c r="J232">
        <v>31710</v>
      </c>
    </row>
    <row r="233" spans="1:10" x14ac:dyDescent="0.25">
      <c r="A233">
        <v>232</v>
      </c>
      <c r="B233" s="1">
        <v>44249</v>
      </c>
      <c r="C233" t="s">
        <v>0</v>
      </c>
      <c r="D233" t="s">
        <v>29</v>
      </c>
      <c r="E233">
        <v>605386</v>
      </c>
      <c r="F233">
        <v>59710</v>
      </c>
      <c r="G233">
        <v>4802</v>
      </c>
      <c r="H233">
        <v>96</v>
      </c>
      <c r="I233">
        <v>12</v>
      </c>
      <c r="J233">
        <v>67632</v>
      </c>
    </row>
    <row r="234" spans="1:10" x14ac:dyDescent="0.25">
      <c r="A234">
        <v>233</v>
      </c>
      <c r="B234" s="1">
        <v>44249</v>
      </c>
      <c r="C234" t="s">
        <v>2</v>
      </c>
      <c r="D234" t="s">
        <v>29</v>
      </c>
      <c r="E234">
        <v>2090371</v>
      </c>
      <c r="F234">
        <v>95536.2</v>
      </c>
      <c r="G234">
        <v>6606</v>
      </c>
      <c r="H234">
        <v>132</v>
      </c>
      <c r="I234">
        <v>14</v>
      </c>
      <c r="J234">
        <v>69734</v>
      </c>
    </row>
    <row r="235" spans="1:10" x14ac:dyDescent="0.25">
      <c r="A235">
        <v>234</v>
      </c>
      <c r="B235" s="1">
        <v>44249</v>
      </c>
      <c r="C235" t="s">
        <v>3</v>
      </c>
      <c r="D235" t="s">
        <v>30</v>
      </c>
      <c r="E235">
        <v>90500</v>
      </c>
      <c r="F235">
        <v>30645.4</v>
      </c>
      <c r="G235">
        <v>1810</v>
      </c>
      <c r="H235">
        <v>65</v>
      </c>
      <c r="I235">
        <v>7</v>
      </c>
      <c r="J235">
        <v>59045</v>
      </c>
    </row>
    <row r="236" spans="1:10" x14ac:dyDescent="0.25">
      <c r="A236">
        <v>235</v>
      </c>
      <c r="B236" s="1">
        <v>44249</v>
      </c>
      <c r="C236" t="s">
        <v>5</v>
      </c>
      <c r="D236" t="s">
        <v>30</v>
      </c>
      <c r="E236">
        <v>959600</v>
      </c>
      <c r="F236">
        <v>12348.3</v>
      </c>
      <c r="G236">
        <v>4798</v>
      </c>
      <c r="H236">
        <v>39</v>
      </c>
      <c r="I236">
        <v>4</v>
      </c>
      <c r="J236">
        <v>11924</v>
      </c>
    </row>
    <row r="237" spans="1:10" x14ac:dyDescent="0.25">
      <c r="A237">
        <v>236</v>
      </c>
      <c r="B237" s="1">
        <v>44249</v>
      </c>
      <c r="C237" t="s">
        <v>6</v>
      </c>
      <c r="D237" t="s">
        <v>28</v>
      </c>
      <c r="E237">
        <v>757387</v>
      </c>
      <c r="F237">
        <v>77803.8</v>
      </c>
      <c r="G237">
        <v>8997</v>
      </c>
      <c r="H237">
        <v>180</v>
      </c>
      <c r="I237">
        <v>42</v>
      </c>
      <c r="J237">
        <v>359394</v>
      </c>
    </row>
    <row r="238" spans="1:10" x14ac:dyDescent="0.25">
      <c r="A238">
        <v>237</v>
      </c>
      <c r="B238" s="1">
        <v>44249</v>
      </c>
      <c r="C238" t="s">
        <v>8</v>
      </c>
      <c r="D238" t="s">
        <v>29</v>
      </c>
      <c r="E238">
        <v>4565811</v>
      </c>
      <c r="F238">
        <v>33474.699999999997</v>
      </c>
      <c r="G238">
        <v>5397</v>
      </c>
      <c r="H238">
        <v>108</v>
      </c>
      <c r="I238">
        <v>9</v>
      </c>
      <c r="J238">
        <v>53829</v>
      </c>
    </row>
    <row r="239" spans="1:10" x14ac:dyDescent="0.25">
      <c r="A239">
        <v>238</v>
      </c>
      <c r="B239" s="1">
        <v>44249</v>
      </c>
      <c r="C239" t="s">
        <v>9</v>
      </c>
      <c r="D239" t="s">
        <v>29</v>
      </c>
      <c r="E239">
        <v>2190892</v>
      </c>
      <c r="F239">
        <v>19196.599999999999</v>
      </c>
      <c r="G239">
        <v>10202</v>
      </c>
      <c r="H239">
        <v>124</v>
      </c>
      <c r="I239">
        <v>7</v>
      </c>
      <c r="J239">
        <v>14602</v>
      </c>
    </row>
    <row r="240" spans="1:10" x14ac:dyDescent="0.25">
      <c r="A240">
        <v>239</v>
      </c>
      <c r="B240" s="1">
        <v>44249</v>
      </c>
      <c r="C240" t="s">
        <v>10</v>
      </c>
      <c r="D240" t="s">
        <v>29</v>
      </c>
      <c r="E240">
        <v>17821</v>
      </c>
      <c r="F240">
        <v>5792.48</v>
      </c>
      <c r="G240">
        <v>598</v>
      </c>
      <c r="H240">
        <v>12</v>
      </c>
      <c r="I240">
        <v>3</v>
      </c>
      <c r="J240">
        <v>12168</v>
      </c>
    </row>
    <row r="241" spans="1:10" x14ac:dyDescent="0.25">
      <c r="A241">
        <v>240</v>
      </c>
      <c r="B241" s="1">
        <v>44249</v>
      </c>
      <c r="C241" t="s">
        <v>11</v>
      </c>
      <c r="D241" t="s">
        <v>29</v>
      </c>
      <c r="E241">
        <v>239600</v>
      </c>
      <c r="F241">
        <v>51783.3</v>
      </c>
      <c r="G241">
        <v>2396</v>
      </c>
      <c r="H241">
        <v>48</v>
      </c>
      <c r="I241">
        <v>6</v>
      </c>
      <c r="J241">
        <v>5886</v>
      </c>
    </row>
    <row r="242" spans="1:10" x14ac:dyDescent="0.25">
      <c r="A242">
        <v>241</v>
      </c>
      <c r="B242" s="1">
        <v>44249</v>
      </c>
      <c r="C242" t="s">
        <v>12</v>
      </c>
      <c r="D242" t="s">
        <v>28</v>
      </c>
      <c r="E242">
        <v>599700</v>
      </c>
      <c r="F242">
        <v>137382</v>
      </c>
      <c r="G242">
        <v>5997</v>
      </c>
      <c r="H242">
        <v>236</v>
      </c>
      <c r="I242">
        <v>35</v>
      </c>
      <c r="J242">
        <v>158340</v>
      </c>
    </row>
    <row r="243" spans="1:10" x14ac:dyDescent="0.25">
      <c r="A243">
        <v>242</v>
      </c>
      <c r="B243" s="1">
        <v>44249</v>
      </c>
      <c r="C243" t="s">
        <v>13</v>
      </c>
      <c r="D243" t="s">
        <v>31</v>
      </c>
      <c r="E243">
        <v>105873774</v>
      </c>
      <c r="F243">
        <v>60021.599999999999</v>
      </c>
      <c r="G243">
        <v>8409</v>
      </c>
      <c r="H243">
        <v>168</v>
      </c>
      <c r="I243">
        <v>20</v>
      </c>
      <c r="J243">
        <v>80600</v>
      </c>
    </row>
    <row r="244" spans="1:10" x14ac:dyDescent="0.25">
      <c r="A244">
        <v>243</v>
      </c>
      <c r="B244" s="1">
        <v>44250</v>
      </c>
      <c r="C244" t="s">
        <v>0</v>
      </c>
      <c r="D244" t="s">
        <v>29</v>
      </c>
      <c r="E244">
        <v>924525</v>
      </c>
      <c r="F244">
        <v>9858.2800000000007</v>
      </c>
      <c r="G244">
        <v>1203</v>
      </c>
      <c r="H244">
        <v>28</v>
      </c>
      <c r="I244">
        <v>2</v>
      </c>
      <c r="J244">
        <v>9962</v>
      </c>
    </row>
    <row r="245" spans="1:10" x14ac:dyDescent="0.25">
      <c r="A245">
        <v>244</v>
      </c>
      <c r="B245" s="1">
        <v>44250</v>
      </c>
      <c r="C245" t="s">
        <v>2</v>
      </c>
      <c r="D245" t="s">
        <v>29</v>
      </c>
      <c r="E245">
        <v>475992</v>
      </c>
      <c r="F245">
        <v>19350</v>
      </c>
      <c r="G245">
        <v>1641</v>
      </c>
      <c r="H245">
        <v>37</v>
      </c>
      <c r="I245">
        <v>3</v>
      </c>
      <c r="J245">
        <v>12225</v>
      </c>
    </row>
    <row r="246" spans="1:10" x14ac:dyDescent="0.25">
      <c r="A246">
        <v>245</v>
      </c>
      <c r="B246" s="1">
        <v>44250</v>
      </c>
      <c r="C246" t="s">
        <v>3</v>
      </c>
      <c r="D246" t="s">
        <v>30</v>
      </c>
      <c r="E246">
        <v>22175</v>
      </c>
      <c r="F246">
        <v>5409.21</v>
      </c>
      <c r="G246">
        <v>442</v>
      </c>
      <c r="H246">
        <v>9</v>
      </c>
      <c r="I246">
        <v>2</v>
      </c>
      <c r="J246">
        <v>15050</v>
      </c>
    </row>
    <row r="247" spans="1:10" x14ac:dyDescent="0.25">
      <c r="A247">
        <v>246</v>
      </c>
      <c r="B247" s="1">
        <v>44250</v>
      </c>
      <c r="C247" t="s">
        <v>5</v>
      </c>
      <c r="D247" t="s">
        <v>30</v>
      </c>
      <c r="E247">
        <v>241000</v>
      </c>
      <c r="F247">
        <v>12581.6</v>
      </c>
      <c r="G247">
        <v>1205</v>
      </c>
      <c r="H247">
        <v>24</v>
      </c>
      <c r="I247">
        <v>3</v>
      </c>
      <c r="J247">
        <v>8943</v>
      </c>
    </row>
    <row r="248" spans="1:10" x14ac:dyDescent="0.25">
      <c r="A248">
        <v>247</v>
      </c>
      <c r="B248" s="1">
        <v>44250</v>
      </c>
      <c r="C248" t="s">
        <v>6</v>
      </c>
      <c r="D248" t="s">
        <v>28</v>
      </c>
      <c r="E248">
        <v>297609</v>
      </c>
      <c r="F248">
        <v>16343</v>
      </c>
      <c r="G248">
        <v>2246</v>
      </c>
      <c r="H248">
        <v>45</v>
      </c>
      <c r="I248">
        <v>8</v>
      </c>
      <c r="J248">
        <v>63848</v>
      </c>
    </row>
    <row r="249" spans="1:10" x14ac:dyDescent="0.25">
      <c r="A249">
        <v>248</v>
      </c>
      <c r="B249" s="1">
        <v>44250</v>
      </c>
      <c r="C249" t="s">
        <v>8</v>
      </c>
      <c r="D249" t="s">
        <v>29</v>
      </c>
      <c r="E249">
        <v>536236</v>
      </c>
      <c r="F249">
        <v>557.25</v>
      </c>
      <c r="G249">
        <v>1349</v>
      </c>
      <c r="H249">
        <v>1</v>
      </c>
      <c r="I249">
        <v>0</v>
      </c>
      <c r="J249">
        <v>0</v>
      </c>
    </row>
    <row r="250" spans="1:10" x14ac:dyDescent="0.25">
      <c r="A250">
        <v>249</v>
      </c>
      <c r="B250" s="1">
        <v>44250</v>
      </c>
      <c r="C250" t="s">
        <v>9</v>
      </c>
      <c r="D250" t="s">
        <v>29</v>
      </c>
      <c r="E250">
        <v>512000</v>
      </c>
      <c r="F250">
        <v>4285.4399999999996</v>
      </c>
      <c r="G250">
        <v>2560</v>
      </c>
      <c r="H250">
        <v>51</v>
      </c>
      <c r="I250">
        <v>2</v>
      </c>
      <c r="J250">
        <v>2934</v>
      </c>
    </row>
    <row r="251" spans="1:10" x14ac:dyDescent="0.25">
      <c r="A251">
        <v>250</v>
      </c>
      <c r="B251" s="1">
        <v>44250</v>
      </c>
      <c r="C251" t="s">
        <v>10</v>
      </c>
      <c r="D251" t="s">
        <v>29</v>
      </c>
      <c r="E251">
        <v>4908</v>
      </c>
      <c r="F251">
        <v>1238.0899999999999</v>
      </c>
      <c r="G251">
        <v>155</v>
      </c>
      <c r="H251">
        <v>3</v>
      </c>
      <c r="I251">
        <v>1</v>
      </c>
      <c r="J251">
        <v>5265</v>
      </c>
    </row>
    <row r="252" spans="1:10" x14ac:dyDescent="0.25">
      <c r="A252">
        <v>251</v>
      </c>
      <c r="B252" s="1">
        <v>44250</v>
      </c>
      <c r="C252" t="s">
        <v>11</v>
      </c>
      <c r="D252" t="s">
        <v>29</v>
      </c>
      <c r="E252">
        <v>60800</v>
      </c>
      <c r="F252">
        <v>16078.6</v>
      </c>
      <c r="G252">
        <v>608</v>
      </c>
      <c r="H252">
        <v>12</v>
      </c>
      <c r="I252">
        <v>2</v>
      </c>
      <c r="J252">
        <v>2720</v>
      </c>
    </row>
    <row r="253" spans="1:10" x14ac:dyDescent="0.25">
      <c r="A253">
        <v>252</v>
      </c>
      <c r="B253" s="1">
        <v>44250</v>
      </c>
      <c r="C253" t="s">
        <v>12</v>
      </c>
      <c r="D253" t="s">
        <v>28</v>
      </c>
      <c r="E253">
        <v>117218</v>
      </c>
      <c r="F253">
        <v>15435</v>
      </c>
      <c r="G253">
        <v>1500</v>
      </c>
      <c r="H253">
        <v>31</v>
      </c>
      <c r="I253">
        <v>4</v>
      </c>
      <c r="J253">
        <v>17816</v>
      </c>
    </row>
    <row r="254" spans="1:10" x14ac:dyDescent="0.25">
      <c r="A254">
        <v>253</v>
      </c>
      <c r="B254" s="1">
        <v>44250</v>
      </c>
      <c r="C254" t="s">
        <v>13</v>
      </c>
      <c r="D254" t="s">
        <v>31</v>
      </c>
      <c r="E254">
        <v>654544</v>
      </c>
      <c r="F254">
        <v>16706.400000000001</v>
      </c>
      <c r="G254">
        <v>2099</v>
      </c>
      <c r="H254">
        <v>42</v>
      </c>
      <c r="I254">
        <v>6</v>
      </c>
      <c r="J254">
        <v>23886</v>
      </c>
    </row>
    <row r="255" spans="1:10" x14ac:dyDescent="0.25">
      <c r="A255">
        <v>254</v>
      </c>
      <c r="B255" s="1">
        <v>44251</v>
      </c>
      <c r="C255" t="s">
        <v>0</v>
      </c>
      <c r="D255" t="s">
        <v>29</v>
      </c>
      <c r="E255">
        <v>479596</v>
      </c>
      <c r="F255">
        <v>94564.2</v>
      </c>
      <c r="G255">
        <v>2408</v>
      </c>
      <c r="H255">
        <v>93</v>
      </c>
      <c r="I255">
        <v>15</v>
      </c>
      <c r="J255">
        <v>81825</v>
      </c>
    </row>
    <row r="256" spans="1:10" x14ac:dyDescent="0.25">
      <c r="A256">
        <v>255</v>
      </c>
      <c r="B256" s="1">
        <v>44251</v>
      </c>
      <c r="C256" t="s">
        <v>2</v>
      </c>
      <c r="D256" t="s">
        <v>29</v>
      </c>
      <c r="E256">
        <v>395127</v>
      </c>
      <c r="F256">
        <v>44347.199999999997</v>
      </c>
      <c r="G256">
        <v>3297</v>
      </c>
      <c r="H256">
        <v>66</v>
      </c>
      <c r="I256">
        <v>7</v>
      </c>
      <c r="J256">
        <v>34867</v>
      </c>
    </row>
    <row r="257" spans="1:10" x14ac:dyDescent="0.25">
      <c r="A257">
        <v>256</v>
      </c>
      <c r="B257" s="1">
        <v>44251</v>
      </c>
      <c r="C257" t="s">
        <v>3</v>
      </c>
      <c r="D257" t="s">
        <v>30</v>
      </c>
      <c r="E257">
        <v>45150</v>
      </c>
      <c r="F257">
        <v>14306.2</v>
      </c>
      <c r="G257">
        <v>903</v>
      </c>
      <c r="H257">
        <v>18</v>
      </c>
      <c r="I257">
        <v>3</v>
      </c>
      <c r="J257">
        <v>23943</v>
      </c>
    </row>
    <row r="258" spans="1:10" x14ac:dyDescent="0.25">
      <c r="A258">
        <v>257</v>
      </c>
      <c r="B258" s="1">
        <v>44251</v>
      </c>
      <c r="C258" t="s">
        <v>5</v>
      </c>
      <c r="D258" t="s">
        <v>30</v>
      </c>
      <c r="E258">
        <v>291441</v>
      </c>
      <c r="F258">
        <v>22357.599999999999</v>
      </c>
      <c r="G258">
        <v>2408</v>
      </c>
      <c r="H258">
        <v>52</v>
      </c>
      <c r="I258">
        <v>5</v>
      </c>
      <c r="J258">
        <v>19060</v>
      </c>
    </row>
    <row r="259" spans="1:10" x14ac:dyDescent="0.25">
      <c r="A259">
        <v>258</v>
      </c>
      <c r="B259" s="1">
        <v>44251</v>
      </c>
      <c r="C259" t="s">
        <v>6</v>
      </c>
      <c r="D259" t="s">
        <v>28</v>
      </c>
      <c r="E259">
        <v>409320</v>
      </c>
      <c r="F259">
        <v>22944.3</v>
      </c>
      <c r="G259">
        <v>4508</v>
      </c>
      <c r="H259">
        <v>65</v>
      </c>
      <c r="I259">
        <v>14</v>
      </c>
      <c r="J259">
        <v>111734</v>
      </c>
    </row>
    <row r="260" spans="1:10" x14ac:dyDescent="0.25">
      <c r="A260">
        <v>259</v>
      </c>
      <c r="B260" s="1">
        <v>44251</v>
      </c>
      <c r="C260" t="s">
        <v>8</v>
      </c>
      <c r="D260" t="s">
        <v>29</v>
      </c>
      <c r="E260">
        <v>869482</v>
      </c>
      <c r="F260">
        <v>23908.400000000001</v>
      </c>
      <c r="G260">
        <v>2703</v>
      </c>
      <c r="H260">
        <v>42</v>
      </c>
      <c r="I260">
        <v>7</v>
      </c>
      <c r="J260">
        <v>36456</v>
      </c>
    </row>
    <row r="261" spans="1:10" x14ac:dyDescent="0.25">
      <c r="A261">
        <v>260</v>
      </c>
      <c r="B261" s="1">
        <v>44251</v>
      </c>
      <c r="C261" t="s">
        <v>9</v>
      </c>
      <c r="D261" t="s">
        <v>29</v>
      </c>
      <c r="E261">
        <v>624157</v>
      </c>
      <c r="F261">
        <v>18675</v>
      </c>
      <c r="G261">
        <v>5098</v>
      </c>
      <c r="H261">
        <v>122</v>
      </c>
      <c r="I261">
        <v>6</v>
      </c>
      <c r="J261">
        <v>10590</v>
      </c>
    </row>
    <row r="262" spans="1:10" x14ac:dyDescent="0.25">
      <c r="A262">
        <v>261</v>
      </c>
      <c r="B262" s="1">
        <v>44251</v>
      </c>
      <c r="C262" t="s">
        <v>10</v>
      </c>
      <c r="D262" t="s">
        <v>29</v>
      </c>
      <c r="E262">
        <v>8966</v>
      </c>
      <c r="F262">
        <v>2857.1</v>
      </c>
      <c r="G262">
        <v>297</v>
      </c>
      <c r="H262">
        <v>6</v>
      </c>
      <c r="I262">
        <v>1</v>
      </c>
      <c r="J262">
        <v>4981</v>
      </c>
    </row>
    <row r="263" spans="1:10" x14ac:dyDescent="0.25">
      <c r="A263">
        <v>262</v>
      </c>
      <c r="B263" s="1">
        <v>44251</v>
      </c>
      <c r="C263" t="s">
        <v>11</v>
      </c>
      <c r="D263" t="s">
        <v>29</v>
      </c>
      <c r="E263">
        <v>148794</v>
      </c>
      <c r="F263">
        <v>48796.6</v>
      </c>
      <c r="G263">
        <v>1196</v>
      </c>
      <c r="H263">
        <v>38</v>
      </c>
      <c r="I263">
        <v>6</v>
      </c>
      <c r="J263">
        <v>8178</v>
      </c>
    </row>
    <row r="264" spans="1:10" x14ac:dyDescent="0.25">
      <c r="A264">
        <v>263</v>
      </c>
      <c r="B264" s="1">
        <v>44251</v>
      </c>
      <c r="C264" t="s">
        <v>12</v>
      </c>
      <c r="D264" t="s">
        <v>28</v>
      </c>
      <c r="E264">
        <v>355802</v>
      </c>
      <c r="F264">
        <v>42311.5</v>
      </c>
      <c r="G264">
        <v>2990</v>
      </c>
      <c r="H264">
        <v>60</v>
      </c>
      <c r="I264">
        <v>9</v>
      </c>
      <c r="J264">
        <v>44829</v>
      </c>
    </row>
    <row r="265" spans="1:10" x14ac:dyDescent="0.25">
      <c r="A265">
        <v>264</v>
      </c>
      <c r="B265" s="1">
        <v>44251</v>
      </c>
      <c r="C265" t="s">
        <v>13</v>
      </c>
      <c r="D265" t="s">
        <v>31</v>
      </c>
      <c r="E265">
        <v>2770687</v>
      </c>
      <c r="F265">
        <v>34169.9</v>
      </c>
      <c r="G265">
        <v>4205</v>
      </c>
      <c r="H265">
        <v>84</v>
      </c>
      <c r="I265">
        <v>16</v>
      </c>
      <c r="J265">
        <v>63696</v>
      </c>
    </row>
    <row r="266" spans="1:10" x14ac:dyDescent="0.25">
      <c r="A266">
        <v>265</v>
      </c>
      <c r="B266" s="1">
        <v>44252</v>
      </c>
      <c r="C266" t="s">
        <v>0</v>
      </c>
      <c r="D266" t="s">
        <v>29</v>
      </c>
      <c r="E266">
        <v>94600</v>
      </c>
      <c r="F266">
        <v>11230.2</v>
      </c>
      <c r="G266">
        <v>473</v>
      </c>
      <c r="H266">
        <v>15</v>
      </c>
      <c r="I266">
        <v>2</v>
      </c>
      <c r="J266">
        <v>10104</v>
      </c>
    </row>
    <row r="267" spans="1:10" x14ac:dyDescent="0.25">
      <c r="A267">
        <v>266</v>
      </c>
      <c r="B267" s="1">
        <v>44252</v>
      </c>
      <c r="C267" t="s">
        <v>2</v>
      </c>
      <c r="D267" t="s">
        <v>29</v>
      </c>
      <c r="E267">
        <v>131400</v>
      </c>
      <c r="F267">
        <v>10357</v>
      </c>
      <c r="G267">
        <v>657</v>
      </c>
      <c r="H267">
        <v>13</v>
      </c>
      <c r="I267">
        <v>2</v>
      </c>
      <c r="J267">
        <v>9962</v>
      </c>
    </row>
    <row r="268" spans="1:10" x14ac:dyDescent="0.25">
      <c r="A268">
        <v>267</v>
      </c>
      <c r="B268" s="1">
        <v>44252</v>
      </c>
      <c r="C268" t="s">
        <v>3</v>
      </c>
      <c r="D268" t="s">
        <v>30</v>
      </c>
      <c r="E268">
        <v>8750</v>
      </c>
      <c r="F268">
        <v>1078.73</v>
      </c>
      <c r="G268">
        <v>175</v>
      </c>
      <c r="H268">
        <v>1</v>
      </c>
      <c r="I268">
        <v>0</v>
      </c>
      <c r="J268">
        <v>0</v>
      </c>
    </row>
    <row r="269" spans="1:10" x14ac:dyDescent="0.25">
      <c r="A269">
        <v>268</v>
      </c>
      <c r="B269" s="1">
        <v>44252</v>
      </c>
      <c r="C269" t="s">
        <v>5</v>
      </c>
      <c r="D269" t="s">
        <v>30</v>
      </c>
      <c r="E269">
        <v>61867</v>
      </c>
      <c r="F269">
        <v>9472.2199999999993</v>
      </c>
      <c r="G269">
        <v>487</v>
      </c>
      <c r="H269">
        <v>19</v>
      </c>
      <c r="I269">
        <v>2</v>
      </c>
      <c r="J269">
        <v>5730</v>
      </c>
    </row>
    <row r="270" spans="1:10" x14ac:dyDescent="0.25">
      <c r="A270">
        <v>269</v>
      </c>
      <c r="B270" s="1">
        <v>44252</v>
      </c>
      <c r="C270" t="s">
        <v>6</v>
      </c>
      <c r="D270" t="s">
        <v>28</v>
      </c>
      <c r="E270">
        <v>94976</v>
      </c>
      <c r="F270">
        <v>9034.91</v>
      </c>
      <c r="G270">
        <v>904</v>
      </c>
      <c r="H270">
        <v>22</v>
      </c>
      <c r="I270">
        <v>5</v>
      </c>
      <c r="J270">
        <v>38030</v>
      </c>
    </row>
    <row r="271" spans="1:10" x14ac:dyDescent="0.25">
      <c r="A271">
        <v>270</v>
      </c>
      <c r="B271" s="1">
        <v>44252</v>
      </c>
      <c r="C271" t="s">
        <v>8</v>
      </c>
      <c r="D271" t="s">
        <v>29</v>
      </c>
      <c r="E271">
        <v>106000</v>
      </c>
      <c r="F271">
        <v>2304.0100000000002</v>
      </c>
      <c r="G271">
        <v>530</v>
      </c>
      <c r="H271">
        <v>6</v>
      </c>
      <c r="I271">
        <v>1</v>
      </c>
      <c r="J271">
        <v>5981</v>
      </c>
    </row>
    <row r="272" spans="1:10" x14ac:dyDescent="0.25">
      <c r="A272">
        <v>271</v>
      </c>
      <c r="B272" s="1">
        <v>44252</v>
      </c>
      <c r="C272" t="s">
        <v>9</v>
      </c>
      <c r="D272" t="s">
        <v>29</v>
      </c>
      <c r="E272">
        <v>115468</v>
      </c>
      <c r="F272">
        <v>2059.0300000000002</v>
      </c>
      <c r="G272">
        <v>1015</v>
      </c>
      <c r="H272">
        <v>20</v>
      </c>
      <c r="I272">
        <v>1</v>
      </c>
      <c r="J272">
        <v>1981</v>
      </c>
    </row>
    <row r="273" spans="1:10" x14ac:dyDescent="0.25">
      <c r="A273">
        <v>272</v>
      </c>
      <c r="B273" s="1">
        <v>44252</v>
      </c>
      <c r="C273" t="s">
        <v>10</v>
      </c>
      <c r="D273" t="s">
        <v>29</v>
      </c>
      <c r="E273">
        <v>2214</v>
      </c>
      <c r="F273">
        <v>1487.47</v>
      </c>
      <c r="G273">
        <v>66</v>
      </c>
      <c r="H273">
        <v>3</v>
      </c>
      <c r="I273">
        <v>1</v>
      </c>
      <c r="J273">
        <v>4461</v>
      </c>
    </row>
    <row r="274" spans="1:10" x14ac:dyDescent="0.25">
      <c r="A274">
        <v>273</v>
      </c>
      <c r="B274" s="1">
        <v>44252</v>
      </c>
      <c r="C274" t="s">
        <v>11</v>
      </c>
      <c r="D274" t="s">
        <v>29</v>
      </c>
      <c r="E274">
        <v>25000</v>
      </c>
      <c r="F274">
        <v>5871.29</v>
      </c>
      <c r="G274">
        <v>250</v>
      </c>
      <c r="H274">
        <v>5</v>
      </c>
      <c r="I274">
        <v>1</v>
      </c>
      <c r="J274">
        <v>981</v>
      </c>
    </row>
    <row r="275" spans="1:10" x14ac:dyDescent="0.25">
      <c r="A275">
        <v>274</v>
      </c>
      <c r="B275" s="1">
        <v>44252</v>
      </c>
      <c r="C275" t="s">
        <v>12</v>
      </c>
      <c r="D275" t="s">
        <v>28</v>
      </c>
      <c r="E275">
        <v>46753</v>
      </c>
      <c r="F275">
        <v>6227.53</v>
      </c>
      <c r="G275">
        <v>591</v>
      </c>
      <c r="H275">
        <v>12</v>
      </c>
      <c r="I275">
        <v>2</v>
      </c>
      <c r="J275">
        <v>10130</v>
      </c>
    </row>
    <row r="276" spans="1:10" x14ac:dyDescent="0.25">
      <c r="A276">
        <v>275</v>
      </c>
      <c r="B276" s="1">
        <v>44252</v>
      </c>
      <c r="C276" t="s">
        <v>13</v>
      </c>
      <c r="D276" t="s">
        <v>31</v>
      </c>
      <c r="E276">
        <v>2885291</v>
      </c>
      <c r="F276">
        <v>7583.66</v>
      </c>
      <c r="G276">
        <v>848</v>
      </c>
      <c r="H276">
        <v>17</v>
      </c>
      <c r="I276">
        <v>3</v>
      </c>
      <c r="J276">
        <v>11943</v>
      </c>
    </row>
    <row r="277" spans="1:10" x14ac:dyDescent="0.25">
      <c r="A277">
        <v>276</v>
      </c>
      <c r="B277" s="1">
        <v>44253</v>
      </c>
      <c r="C277" t="s">
        <v>0</v>
      </c>
      <c r="D277" t="s">
        <v>29</v>
      </c>
      <c r="E277">
        <v>168408</v>
      </c>
      <c r="F277">
        <v>19887.7</v>
      </c>
      <c r="G277">
        <v>1207</v>
      </c>
      <c r="H277">
        <v>39</v>
      </c>
      <c r="I277">
        <v>4</v>
      </c>
      <c r="J277">
        <v>22488</v>
      </c>
    </row>
    <row r="278" spans="1:10" x14ac:dyDescent="0.25">
      <c r="A278">
        <v>277</v>
      </c>
      <c r="B278" s="1">
        <v>44253</v>
      </c>
      <c r="C278" t="s">
        <v>2</v>
      </c>
      <c r="D278" t="s">
        <v>29</v>
      </c>
      <c r="E278">
        <v>438858</v>
      </c>
      <c r="F278">
        <v>17935.400000000001</v>
      </c>
      <c r="G278">
        <v>1657</v>
      </c>
      <c r="H278">
        <v>33</v>
      </c>
      <c r="I278">
        <v>3</v>
      </c>
      <c r="J278">
        <v>15345</v>
      </c>
    </row>
    <row r="279" spans="1:10" x14ac:dyDescent="0.25">
      <c r="A279">
        <v>278</v>
      </c>
      <c r="B279" s="1">
        <v>44253</v>
      </c>
      <c r="C279" t="s">
        <v>3</v>
      </c>
      <c r="D279" t="s">
        <v>30</v>
      </c>
      <c r="E279">
        <v>22450</v>
      </c>
      <c r="F279">
        <v>1545.74</v>
      </c>
      <c r="G279">
        <v>449</v>
      </c>
      <c r="H279">
        <v>2</v>
      </c>
      <c r="I279">
        <v>0</v>
      </c>
      <c r="J279">
        <v>0</v>
      </c>
    </row>
    <row r="280" spans="1:10" x14ac:dyDescent="0.25">
      <c r="A280">
        <v>279</v>
      </c>
      <c r="B280" s="1">
        <v>44253</v>
      </c>
      <c r="C280" t="s">
        <v>5</v>
      </c>
      <c r="D280" t="s">
        <v>30</v>
      </c>
      <c r="E280">
        <v>240600</v>
      </c>
      <c r="F280">
        <v>4453.1000000000004</v>
      </c>
      <c r="G280">
        <v>1203</v>
      </c>
      <c r="H280">
        <v>11</v>
      </c>
      <c r="I280">
        <v>1</v>
      </c>
      <c r="J280">
        <v>2283</v>
      </c>
    </row>
    <row r="281" spans="1:10" x14ac:dyDescent="0.25">
      <c r="A281">
        <v>280</v>
      </c>
      <c r="B281" s="1">
        <v>44253</v>
      </c>
      <c r="C281" t="s">
        <v>6</v>
      </c>
      <c r="D281" t="s">
        <v>28</v>
      </c>
      <c r="E281">
        <v>195016</v>
      </c>
      <c r="F281">
        <v>38804.199999999997</v>
      </c>
      <c r="G281">
        <v>2247</v>
      </c>
      <c r="H281">
        <v>82</v>
      </c>
      <c r="I281">
        <v>16</v>
      </c>
      <c r="J281">
        <v>127696</v>
      </c>
    </row>
    <row r="282" spans="1:10" x14ac:dyDescent="0.25">
      <c r="A282">
        <v>281</v>
      </c>
      <c r="B282" s="1">
        <v>44253</v>
      </c>
      <c r="C282" t="s">
        <v>8</v>
      </c>
      <c r="D282" t="s">
        <v>29</v>
      </c>
      <c r="E282">
        <v>174375</v>
      </c>
      <c r="F282">
        <v>12592.4</v>
      </c>
      <c r="G282">
        <v>1342</v>
      </c>
      <c r="H282">
        <v>27</v>
      </c>
      <c r="I282">
        <v>4</v>
      </c>
      <c r="J282">
        <v>26556</v>
      </c>
    </row>
    <row r="283" spans="1:10" x14ac:dyDescent="0.25">
      <c r="A283">
        <v>282</v>
      </c>
      <c r="B283" s="1">
        <v>44253</v>
      </c>
      <c r="C283" t="s">
        <v>9</v>
      </c>
      <c r="D283" t="s">
        <v>29</v>
      </c>
      <c r="E283">
        <v>508600</v>
      </c>
      <c r="F283">
        <v>2403.54</v>
      </c>
      <c r="G283">
        <v>2543</v>
      </c>
      <c r="H283">
        <v>73</v>
      </c>
      <c r="I283">
        <v>1</v>
      </c>
      <c r="J283">
        <v>1981</v>
      </c>
    </row>
    <row r="284" spans="1:10" x14ac:dyDescent="0.25">
      <c r="A284">
        <v>283</v>
      </c>
      <c r="B284" s="1">
        <v>44253</v>
      </c>
      <c r="C284" t="s">
        <v>10</v>
      </c>
      <c r="D284" t="s">
        <v>29</v>
      </c>
      <c r="E284">
        <v>4906</v>
      </c>
      <c r="F284">
        <v>1071.1600000000001</v>
      </c>
      <c r="G284">
        <v>143</v>
      </c>
      <c r="H284">
        <v>3</v>
      </c>
      <c r="I284">
        <v>1</v>
      </c>
      <c r="J284">
        <v>4981</v>
      </c>
    </row>
    <row r="285" spans="1:10" x14ac:dyDescent="0.25">
      <c r="A285">
        <v>284</v>
      </c>
      <c r="B285" s="1">
        <v>44253</v>
      </c>
      <c r="C285" t="s">
        <v>11</v>
      </c>
      <c r="D285" t="s">
        <v>29</v>
      </c>
      <c r="E285">
        <v>55269</v>
      </c>
      <c r="F285">
        <v>315.92</v>
      </c>
      <c r="G285">
        <v>610</v>
      </c>
      <c r="H285">
        <v>0</v>
      </c>
      <c r="I285">
        <v>0</v>
      </c>
      <c r="J285">
        <v>0</v>
      </c>
    </row>
    <row r="286" spans="1:10" x14ac:dyDescent="0.25">
      <c r="A286">
        <v>285</v>
      </c>
      <c r="B286" s="1">
        <v>44253</v>
      </c>
      <c r="C286" t="s">
        <v>12</v>
      </c>
      <c r="D286" t="s">
        <v>28</v>
      </c>
      <c r="E286">
        <v>192489</v>
      </c>
      <c r="F286">
        <v>15596</v>
      </c>
      <c r="G286">
        <v>1497</v>
      </c>
      <c r="H286">
        <v>34</v>
      </c>
      <c r="I286">
        <v>5</v>
      </c>
      <c r="J286">
        <v>25205</v>
      </c>
    </row>
    <row r="287" spans="1:10" x14ac:dyDescent="0.25">
      <c r="A287">
        <v>286</v>
      </c>
      <c r="B287" s="1">
        <v>44253</v>
      </c>
      <c r="C287" t="s">
        <v>13</v>
      </c>
      <c r="D287" t="s">
        <v>31</v>
      </c>
      <c r="E287">
        <v>20930000</v>
      </c>
      <c r="F287">
        <v>8087.73</v>
      </c>
      <c r="G287">
        <v>2093</v>
      </c>
      <c r="H287">
        <v>22</v>
      </c>
      <c r="I287">
        <v>3</v>
      </c>
      <c r="J287">
        <v>12213</v>
      </c>
    </row>
    <row r="288" spans="1:10" x14ac:dyDescent="0.25">
      <c r="A288">
        <v>287</v>
      </c>
      <c r="B288" s="1">
        <v>44254</v>
      </c>
      <c r="C288" t="s">
        <v>0</v>
      </c>
      <c r="D288" t="s">
        <v>29</v>
      </c>
      <c r="E288">
        <v>213771</v>
      </c>
      <c r="F288">
        <v>5003.33</v>
      </c>
      <c r="G288">
        <v>241</v>
      </c>
      <c r="H288">
        <v>9</v>
      </c>
      <c r="I288">
        <v>1</v>
      </c>
      <c r="J288">
        <v>4223</v>
      </c>
    </row>
    <row r="289" spans="1:10" x14ac:dyDescent="0.25">
      <c r="A289">
        <v>288</v>
      </c>
      <c r="B289" s="1">
        <v>44254</v>
      </c>
      <c r="C289" t="s">
        <v>2</v>
      </c>
      <c r="D289" t="s">
        <v>29</v>
      </c>
      <c r="E289">
        <v>66400</v>
      </c>
      <c r="F289">
        <v>3235.77</v>
      </c>
      <c r="G289">
        <v>332</v>
      </c>
      <c r="H289">
        <v>13</v>
      </c>
      <c r="I289">
        <v>0</v>
      </c>
      <c r="J289">
        <v>0</v>
      </c>
    </row>
    <row r="290" spans="1:10" x14ac:dyDescent="0.25">
      <c r="A290">
        <v>289</v>
      </c>
      <c r="B290" s="1">
        <v>44254</v>
      </c>
      <c r="C290" t="s">
        <v>3</v>
      </c>
      <c r="D290" t="s">
        <v>30</v>
      </c>
      <c r="E290">
        <v>4662</v>
      </c>
      <c r="F290">
        <v>1754.25</v>
      </c>
      <c r="G290">
        <v>83</v>
      </c>
      <c r="H290">
        <v>2</v>
      </c>
      <c r="I290">
        <v>0</v>
      </c>
      <c r="J290">
        <v>0</v>
      </c>
    </row>
    <row r="291" spans="1:10" x14ac:dyDescent="0.25">
      <c r="A291">
        <v>290</v>
      </c>
      <c r="B291" s="1">
        <v>44254</v>
      </c>
      <c r="C291" t="s">
        <v>5</v>
      </c>
      <c r="D291" t="s">
        <v>30</v>
      </c>
      <c r="E291">
        <v>40004</v>
      </c>
      <c r="F291">
        <v>1487.24</v>
      </c>
      <c r="G291">
        <v>243</v>
      </c>
      <c r="H291">
        <v>5</v>
      </c>
      <c r="I291">
        <v>0</v>
      </c>
      <c r="J291">
        <v>0</v>
      </c>
    </row>
    <row r="292" spans="1:10" x14ac:dyDescent="0.25">
      <c r="A292">
        <v>291</v>
      </c>
      <c r="B292" s="1">
        <v>44254</v>
      </c>
      <c r="C292" t="s">
        <v>6</v>
      </c>
      <c r="D292" t="s">
        <v>28</v>
      </c>
      <c r="E292">
        <v>44000</v>
      </c>
      <c r="F292">
        <v>5721.83</v>
      </c>
      <c r="G292">
        <v>440</v>
      </c>
      <c r="H292">
        <v>15</v>
      </c>
      <c r="I292">
        <v>3</v>
      </c>
      <c r="J292">
        <v>23943</v>
      </c>
    </row>
    <row r="293" spans="1:10" x14ac:dyDescent="0.25">
      <c r="A293">
        <v>292</v>
      </c>
      <c r="B293" s="1">
        <v>44254</v>
      </c>
      <c r="C293" t="s">
        <v>8</v>
      </c>
      <c r="D293" t="s">
        <v>29</v>
      </c>
      <c r="E293">
        <v>44112</v>
      </c>
      <c r="F293">
        <v>1832.16</v>
      </c>
      <c r="G293">
        <v>275</v>
      </c>
      <c r="H293">
        <v>6</v>
      </c>
      <c r="I293">
        <v>1</v>
      </c>
      <c r="J293">
        <v>5981</v>
      </c>
    </row>
    <row r="294" spans="1:10" x14ac:dyDescent="0.25">
      <c r="A294">
        <v>293</v>
      </c>
      <c r="B294" s="1">
        <v>44254</v>
      </c>
      <c r="C294" t="s">
        <v>9</v>
      </c>
      <c r="D294" t="s">
        <v>29</v>
      </c>
      <c r="E294">
        <v>78799</v>
      </c>
      <c r="F294">
        <v>254.14</v>
      </c>
      <c r="G294">
        <v>503</v>
      </c>
      <c r="H294">
        <v>3</v>
      </c>
      <c r="I294">
        <v>0</v>
      </c>
      <c r="J294">
        <v>0</v>
      </c>
    </row>
    <row r="295" spans="1:10" x14ac:dyDescent="0.25">
      <c r="A295">
        <v>294</v>
      </c>
      <c r="B295" s="1">
        <v>44254</v>
      </c>
      <c r="C295" t="s">
        <v>10</v>
      </c>
      <c r="D295" t="s">
        <v>29</v>
      </c>
      <c r="E295">
        <v>667</v>
      </c>
      <c r="F295">
        <v>200.42</v>
      </c>
      <c r="G295">
        <v>20</v>
      </c>
      <c r="H295">
        <v>0</v>
      </c>
      <c r="I295">
        <v>0</v>
      </c>
      <c r="J295">
        <v>0</v>
      </c>
    </row>
    <row r="296" spans="1:10" x14ac:dyDescent="0.25">
      <c r="A296">
        <v>295</v>
      </c>
      <c r="B296" s="1">
        <v>44254</v>
      </c>
      <c r="C296" t="s">
        <v>11</v>
      </c>
      <c r="D296" t="s">
        <v>29</v>
      </c>
      <c r="E296">
        <v>13693</v>
      </c>
      <c r="F296">
        <v>3098.45</v>
      </c>
      <c r="G296">
        <v>115</v>
      </c>
      <c r="H296">
        <v>2</v>
      </c>
      <c r="I296">
        <v>0</v>
      </c>
      <c r="J296">
        <v>0</v>
      </c>
    </row>
    <row r="297" spans="1:10" x14ac:dyDescent="0.25">
      <c r="A297">
        <v>296</v>
      </c>
      <c r="B297" s="1">
        <v>44254</v>
      </c>
      <c r="C297" t="s">
        <v>12</v>
      </c>
      <c r="D297" t="s">
        <v>28</v>
      </c>
      <c r="E297">
        <v>24018</v>
      </c>
      <c r="F297">
        <v>3524.08</v>
      </c>
      <c r="G297">
        <v>298</v>
      </c>
      <c r="H297">
        <v>6</v>
      </c>
      <c r="I297">
        <v>1</v>
      </c>
      <c r="J297">
        <v>4661</v>
      </c>
    </row>
    <row r="298" spans="1:10" x14ac:dyDescent="0.25">
      <c r="A298">
        <v>297</v>
      </c>
      <c r="B298" s="1">
        <v>44254</v>
      </c>
      <c r="C298" t="s">
        <v>13</v>
      </c>
      <c r="D298" t="s">
        <v>31</v>
      </c>
      <c r="E298">
        <v>182546</v>
      </c>
      <c r="F298">
        <v>2791.06</v>
      </c>
      <c r="G298">
        <v>426</v>
      </c>
      <c r="H298">
        <v>9</v>
      </c>
      <c r="I298">
        <v>1</v>
      </c>
      <c r="J298">
        <v>3981</v>
      </c>
    </row>
    <row r="299" spans="1:10" x14ac:dyDescent="0.25">
      <c r="A299">
        <v>298</v>
      </c>
      <c r="B299" s="1">
        <v>44255</v>
      </c>
      <c r="C299" t="s">
        <v>0</v>
      </c>
      <c r="D299" t="s">
        <v>29</v>
      </c>
      <c r="E299">
        <v>97200</v>
      </c>
      <c r="F299">
        <v>6440.5</v>
      </c>
      <c r="G299">
        <v>486</v>
      </c>
      <c r="H299">
        <v>11</v>
      </c>
      <c r="I299">
        <v>1</v>
      </c>
      <c r="J299">
        <v>4981</v>
      </c>
    </row>
    <row r="300" spans="1:10" x14ac:dyDescent="0.25">
      <c r="A300">
        <v>299</v>
      </c>
      <c r="B300" s="1">
        <v>44255</v>
      </c>
      <c r="C300" t="s">
        <v>2</v>
      </c>
      <c r="D300" t="s">
        <v>29</v>
      </c>
      <c r="E300">
        <v>132200</v>
      </c>
      <c r="F300">
        <v>8665.5499999999993</v>
      </c>
      <c r="G300">
        <v>661</v>
      </c>
      <c r="H300">
        <v>13</v>
      </c>
      <c r="I300">
        <v>1</v>
      </c>
      <c r="J300">
        <v>5509</v>
      </c>
    </row>
    <row r="301" spans="1:10" x14ac:dyDescent="0.25">
      <c r="A301">
        <v>300</v>
      </c>
      <c r="B301" s="1">
        <v>44255</v>
      </c>
      <c r="C301" t="s">
        <v>3</v>
      </c>
      <c r="D301" t="s">
        <v>30</v>
      </c>
      <c r="E301">
        <v>11554</v>
      </c>
      <c r="F301">
        <v>3529.73</v>
      </c>
      <c r="G301">
        <v>187</v>
      </c>
      <c r="H301">
        <v>5</v>
      </c>
      <c r="I301">
        <v>1</v>
      </c>
      <c r="J301">
        <v>8714</v>
      </c>
    </row>
    <row r="302" spans="1:10" x14ac:dyDescent="0.25">
      <c r="A302">
        <v>301</v>
      </c>
      <c r="B302" s="1">
        <v>44255</v>
      </c>
      <c r="C302" t="s">
        <v>5</v>
      </c>
      <c r="D302" t="s">
        <v>30</v>
      </c>
      <c r="E302">
        <v>55625</v>
      </c>
      <c r="F302">
        <v>384.75</v>
      </c>
      <c r="G302">
        <v>487</v>
      </c>
      <c r="H302">
        <v>1</v>
      </c>
      <c r="I302">
        <v>0</v>
      </c>
      <c r="J302">
        <v>0</v>
      </c>
    </row>
    <row r="303" spans="1:10" x14ac:dyDescent="0.25">
      <c r="A303">
        <v>302</v>
      </c>
      <c r="B303" s="1">
        <v>44255</v>
      </c>
      <c r="C303" t="s">
        <v>6</v>
      </c>
      <c r="D303" t="s">
        <v>28</v>
      </c>
      <c r="E303">
        <v>129025</v>
      </c>
      <c r="F303">
        <v>9892.77</v>
      </c>
      <c r="G303">
        <v>909</v>
      </c>
      <c r="H303">
        <v>21</v>
      </c>
      <c r="I303">
        <v>5</v>
      </c>
      <c r="J303">
        <v>37450</v>
      </c>
    </row>
    <row r="304" spans="1:10" x14ac:dyDescent="0.25">
      <c r="A304">
        <v>303</v>
      </c>
      <c r="B304" s="1">
        <v>44255</v>
      </c>
      <c r="C304" t="s">
        <v>8</v>
      </c>
      <c r="D304" t="s">
        <v>29</v>
      </c>
      <c r="E304">
        <v>63566</v>
      </c>
      <c r="F304">
        <v>4950.74</v>
      </c>
      <c r="G304">
        <v>546</v>
      </c>
      <c r="H304">
        <v>12</v>
      </c>
      <c r="I304">
        <v>1</v>
      </c>
      <c r="J304">
        <v>5981</v>
      </c>
    </row>
    <row r="305" spans="1:10" x14ac:dyDescent="0.25">
      <c r="A305">
        <v>304</v>
      </c>
      <c r="B305" s="1">
        <v>44255</v>
      </c>
      <c r="C305" t="s">
        <v>9</v>
      </c>
      <c r="D305" t="s">
        <v>29</v>
      </c>
      <c r="E305">
        <v>775780</v>
      </c>
      <c r="F305">
        <v>760.75</v>
      </c>
      <c r="G305">
        <v>1024</v>
      </c>
      <c r="H305">
        <v>4</v>
      </c>
      <c r="I305">
        <v>0</v>
      </c>
      <c r="J305">
        <v>0</v>
      </c>
    </row>
    <row r="306" spans="1:10" x14ac:dyDescent="0.25">
      <c r="A306">
        <v>305</v>
      </c>
      <c r="B306" s="1">
        <v>44255</v>
      </c>
      <c r="C306" t="s">
        <v>10</v>
      </c>
      <c r="D306" t="s">
        <v>29</v>
      </c>
      <c r="E306">
        <v>1933</v>
      </c>
      <c r="F306">
        <v>224.81</v>
      </c>
      <c r="G306">
        <v>58</v>
      </c>
      <c r="H306">
        <v>0</v>
      </c>
      <c r="I306">
        <v>0</v>
      </c>
      <c r="J306">
        <v>0</v>
      </c>
    </row>
    <row r="307" spans="1:10" x14ac:dyDescent="0.25">
      <c r="A307">
        <v>306</v>
      </c>
      <c r="B307" s="1">
        <v>44255</v>
      </c>
      <c r="C307" t="s">
        <v>11</v>
      </c>
      <c r="D307" t="s">
        <v>29</v>
      </c>
      <c r="E307">
        <v>25840</v>
      </c>
      <c r="F307">
        <v>6844.8</v>
      </c>
      <c r="G307">
        <v>248</v>
      </c>
      <c r="H307">
        <v>5</v>
      </c>
      <c r="I307">
        <v>1</v>
      </c>
      <c r="J307">
        <v>1491</v>
      </c>
    </row>
    <row r="308" spans="1:10" x14ac:dyDescent="0.25">
      <c r="A308">
        <v>307</v>
      </c>
      <c r="B308" s="1">
        <v>44255</v>
      </c>
      <c r="C308" t="s">
        <v>12</v>
      </c>
      <c r="D308" t="s">
        <v>28</v>
      </c>
      <c r="E308">
        <v>94058</v>
      </c>
      <c r="F308">
        <v>4845.6499999999996</v>
      </c>
      <c r="G308">
        <v>594</v>
      </c>
      <c r="H308">
        <v>12</v>
      </c>
      <c r="I308">
        <v>1</v>
      </c>
      <c r="J308">
        <v>5008</v>
      </c>
    </row>
    <row r="309" spans="1:10" x14ac:dyDescent="0.25">
      <c r="A309">
        <v>308</v>
      </c>
      <c r="B309" s="1">
        <v>44255</v>
      </c>
      <c r="C309" t="s">
        <v>13</v>
      </c>
      <c r="D309" t="s">
        <v>31</v>
      </c>
      <c r="E309">
        <v>8490000</v>
      </c>
      <c r="F309">
        <v>6822.62</v>
      </c>
      <c r="G309">
        <v>849</v>
      </c>
      <c r="H309">
        <v>18</v>
      </c>
      <c r="I309">
        <v>2</v>
      </c>
      <c r="J309">
        <v>7030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97CD-A1B9-40B1-8092-6114DF3CC1EF}">
  <dimension ref="A1:J309"/>
  <sheetViews>
    <sheetView workbookViewId="0">
      <selection activeCell="D7" sqref="D7"/>
    </sheetView>
  </sheetViews>
  <sheetFormatPr defaultRowHeight="15" x14ac:dyDescent="0.25"/>
  <cols>
    <col min="1" max="1" width="9" customWidth="1"/>
    <col min="2" max="2" width="12.28515625" customWidth="1"/>
    <col min="3" max="3" width="17.5703125" customWidth="1"/>
    <col min="4" max="4" width="10.7109375" customWidth="1"/>
    <col min="5" max="5" width="13.85546875" customWidth="1"/>
    <col min="6" max="6" width="15.7109375" customWidth="1"/>
    <col min="7" max="8" width="7.85546875" customWidth="1"/>
    <col min="9" max="9" width="10.42578125" customWidth="1"/>
    <col min="10" max="10" width="12.7109375" customWidth="1"/>
  </cols>
  <sheetData>
    <row r="1" spans="1:10" x14ac:dyDescent="0.25">
      <c r="A1" t="s">
        <v>23</v>
      </c>
      <c r="B1" t="s">
        <v>24</v>
      </c>
      <c r="C1" t="s">
        <v>22</v>
      </c>
      <c r="D1" t="s">
        <v>21</v>
      </c>
      <c r="E1" t="s">
        <v>20</v>
      </c>
      <c r="F1" t="s">
        <v>19</v>
      </c>
      <c r="G1" t="s">
        <v>18</v>
      </c>
      <c r="H1" t="s">
        <v>17</v>
      </c>
      <c r="I1" t="s">
        <v>16</v>
      </c>
      <c r="J1" t="s">
        <v>15</v>
      </c>
    </row>
    <row r="2" spans="1:10" x14ac:dyDescent="0.25">
      <c r="A2">
        <v>1</v>
      </c>
      <c r="B2">
        <v>44228</v>
      </c>
      <c r="C2" t="s">
        <v>0</v>
      </c>
      <c r="D2" t="s">
        <v>26</v>
      </c>
      <c r="E2">
        <v>148263</v>
      </c>
      <c r="F2">
        <v>7307.37</v>
      </c>
      <c r="G2">
        <v>1210</v>
      </c>
      <c r="H2">
        <v>13</v>
      </c>
      <c r="I2">
        <v>1</v>
      </c>
      <c r="J2">
        <v>4981</v>
      </c>
    </row>
    <row r="3" spans="1:10" x14ac:dyDescent="0.25">
      <c r="A3">
        <v>2</v>
      </c>
      <c r="B3">
        <v>44228</v>
      </c>
      <c r="C3" t="s">
        <v>2</v>
      </c>
      <c r="D3" t="s">
        <v>1</v>
      </c>
      <c r="E3">
        <v>220688</v>
      </c>
      <c r="F3">
        <v>16300.2</v>
      </c>
      <c r="G3">
        <v>1640</v>
      </c>
      <c r="H3">
        <v>48</v>
      </c>
      <c r="I3">
        <v>3</v>
      </c>
      <c r="J3">
        <v>14962</v>
      </c>
    </row>
    <row r="4" spans="1:10" x14ac:dyDescent="0.25">
      <c r="A4">
        <v>3</v>
      </c>
      <c r="B4">
        <v>44228</v>
      </c>
      <c r="C4" t="s">
        <v>3</v>
      </c>
      <c r="D4" t="s">
        <v>4</v>
      </c>
      <c r="E4">
        <v>22850</v>
      </c>
      <c r="F4">
        <v>5221.6000000000004</v>
      </c>
      <c r="G4">
        <v>457</v>
      </c>
      <c r="H4">
        <v>9</v>
      </c>
      <c r="I4">
        <v>1</v>
      </c>
      <c r="J4">
        <v>7981</v>
      </c>
    </row>
    <row r="5" spans="1:10" x14ac:dyDescent="0.25">
      <c r="A5">
        <v>4</v>
      </c>
      <c r="B5">
        <v>44228</v>
      </c>
      <c r="C5" t="s">
        <v>5</v>
      </c>
      <c r="D5" t="s">
        <v>25</v>
      </c>
      <c r="E5">
        <v>147038</v>
      </c>
      <c r="F5">
        <v>6037</v>
      </c>
      <c r="G5">
        <v>1196</v>
      </c>
      <c r="H5">
        <v>24</v>
      </c>
      <c r="I5">
        <v>1</v>
      </c>
      <c r="J5">
        <v>2114</v>
      </c>
    </row>
    <row r="6" spans="1:10" x14ac:dyDescent="0.25">
      <c r="A6">
        <v>5</v>
      </c>
      <c r="B6">
        <v>44228</v>
      </c>
      <c r="D6" t="s">
        <v>7</v>
      </c>
      <c r="E6">
        <v>225800</v>
      </c>
      <c r="F6">
        <v>29962.2</v>
      </c>
      <c r="G6">
        <v>2258</v>
      </c>
      <c r="H6">
        <v>49</v>
      </c>
      <c r="I6">
        <v>10</v>
      </c>
      <c r="J6">
        <v>84490</v>
      </c>
    </row>
    <row r="7" spans="1:10" x14ac:dyDescent="0.25">
      <c r="A7">
        <v>6</v>
      </c>
      <c r="B7">
        <v>44228</v>
      </c>
      <c r="C7" t="s">
        <v>8</v>
      </c>
      <c r="D7" t="s">
        <v>1</v>
      </c>
      <c r="E7">
        <v>444857</v>
      </c>
      <c r="F7">
        <v>9540.01</v>
      </c>
      <c r="G7">
        <v>1342</v>
      </c>
      <c r="H7">
        <v>27</v>
      </c>
      <c r="I7">
        <v>3</v>
      </c>
      <c r="J7">
        <v>17943</v>
      </c>
    </row>
    <row r="8" spans="1:10" x14ac:dyDescent="0.25">
      <c r="A8">
        <v>7</v>
      </c>
      <c r="B8">
        <v>44228</v>
      </c>
      <c r="C8" t="s">
        <v>9</v>
      </c>
      <c r="D8" t="s">
        <v>1</v>
      </c>
      <c r="E8">
        <v>511200</v>
      </c>
      <c r="F8">
        <v>3648.9</v>
      </c>
      <c r="G8">
        <v>2556</v>
      </c>
      <c r="H8">
        <v>94</v>
      </c>
      <c r="I8">
        <v>1</v>
      </c>
      <c r="J8">
        <v>1981</v>
      </c>
    </row>
    <row r="9" spans="1:10" x14ac:dyDescent="0.25">
      <c r="A9">
        <v>8</v>
      </c>
      <c r="B9">
        <v>44228</v>
      </c>
      <c r="C9" t="s">
        <v>10</v>
      </c>
      <c r="D9" t="s">
        <v>1</v>
      </c>
      <c r="E9">
        <v>5544</v>
      </c>
      <c r="F9">
        <v>1293.55</v>
      </c>
      <c r="G9">
        <v>148</v>
      </c>
      <c r="H9">
        <v>3</v>
      </c>
      <c r="I9">
        <v>1</v>
      </c>
      <c r="J9">
        <v>4981</v>
      </c>
    </row>
    <row r="10" spans="1:10" x14ac:dyDescent="0.25">
      <c r="A10">
        <v>9</v>
      </c>
      <c r="B10">
        <v>44228</v>
      </c>
      <c r="C10" t="s">
        <v>11</v>
      </c>
      <c r="D10" t="s">
        <v>1</v>
      </c>
      <c r="E10">
        <v>56916</v>
      </c>
      <c r="F10">
        <v>16997.8</v>
      </c>
      <c r="G10">
        <v>596</v>
      </c>
      <c r="H10">
        <v>14</v>
      </c>
      <c r="I10">
        <v>2</v>
      </c>
      <c r="J10">
        <v>4162</v>
      </c>
    </row>
    <row r="11" spans="1:10" x14ac:dyDescent="0.25">
      <c r="A11">
        <v>10</v>
      </c>
      <c r="B11">
        <v>44228</v>
      </c>
      <c r="C11" t="s">
        <v>12</v>
      </c>
      <c r="D11" t="s">
        <v>7</v>
      </c>
      <c r="E11">
        <v>120436</v>
      </c>
      <c r="F11">
        <v>23604.1</v>
      </c>
      <c r="G11">
        <v>1498</v>
      </c>
      <c r="H11">
        <v>49</v>
      </c>
      <c r="I11">
        <v>7</v>
      </c>
      <c r="J11">
        <v>39081</v>
      </c>
    </row>
    <row r="12" spans="1:10" x14ac:dyDescent="0.25">
      <c r="A12">
        <v>11</v>
      </c>
      <c r="B12">
        <v>44228</v>
      </c>
      <c r="C12" t="s">
        <v>13</v>
      </c>
      <c r="D12" t="s">
        <v>14</v>
      </c>
      <c r="E12">
        <v>20900000</v>
      </c>
      <c r="F12">
        <v>931.99</v>
      </c>
      <c r="G12">
        <v>2090</v>
      </c>
      <c r="H12">
        <v>3</v>
      </c>
      <c r="I12">
        <v>0</v>
      </c>
      <c r="J12">
        <v>0</v>
      </c>
    </row>
    <row r="13" spans="1:10" x14ac:dyDescent="0.25">
      <c r="A13">
        <v>12</v>
      </c>
      <c r="B13">
        <v>44229</v>
      </c>
      <c r="C13" t="s">
        <v>0</v>
      </c>
      <c r="D13" t="s">
        <v>27</v>
      </c>
      <c r="E13">
        <v>478200</v>
      </c>
      <c r="F13">
        <v>18385.3</v>
      </c>
      <c r="G13">
        <v>2391</v>
      </c>
      <c r="H13">
        <v>48</v>
      </c>
      <c r="I13">
        <v>4</v>
      </c>
      <c r="J13">
        <v>17812</v>
      </c>
    </row>
    <row r="14" spans="1:10" x14ac:dyDescent="0.25">
      <c r="A14">
        <v>13</v>
      </c>
      <c r="B14">
        <v>44229</v>
      </c>
      <c r="C14" t="s">
        <v>2</v>
      </c>
      <c r="D14" t="s">
        <v>27</v>
      </c>
      <c r="E14">
        <v>957806</v>
      </c>
      <c r="F14">
        <v>2198.0500000000002</v>
      </c>
      <c r="G14">
        <v>3294</v>
      </c>
      <c r="H14">
        <v>10</v>
      </c>
      <c r="I14">
        <v>0</v>
      </c>
      <c r="J14">
        <v>0</v>
      </c>
    </row>
    <row r="15" spans="1:10" x14ac:dyDescent="0.25">
      <c r="A15">
        <v>14</v>
      </c>
      <c r="B15">
        <v>44229</v>
      </c>
      <c r="C15" t="s">
        <v>3</v>
      </c>
      <c r="D15" t="s">
        <v>4</v>
      </c>
      <c r="E15">
        <v>43806</v>
      </c>
      <c r="F15">
        <v>11446.7</v>
      </c>
      <c r="G15">
        <v>907</v>
      </c>
      <c r="H15">
        <v>18</v>
      </c>
      <c r="I15">
        <v>3</v>
      </c>
      <c r="J15">
        <v>23943</v>
      </c>
    </row>
    <row r="16" spans="1:10" x14ac:dyDescent="0.25">
      <c r="A16">
        <v>15</v>
      </c>
      <c r="B16">
        <v>44229</v>
      </c>
      <c r="C16" t="s">
        <v>5</v>
      </c>
      <c r="D16" t="s">
        <v>4</v>
      </c>
      <c r="E16">
        <v>314704</v>
      </c>
      <c r="F16">
        <v>15153.6</v>
      </c>
      <c r="G16">
        <v>2395</v>
      </c>
      <c r="H16">
        <v>39</v>
      </c>
      <c r="I16">
        <v>4</v>
      </c>
      <c r="J16">
        <v>12540</v>
      </c>
    </row>
    <row r="17" spans="1:10" x14ac:dyDescent="0.25">
      <c r="A17">
        <v>16</v>
      </c>
      <c r="B17">
        <v>44229</v>
      </c>
      <c r="C17" t="s">
        <v>6</v>
      </c>
      <c r="D17" t="s">
        <v>7</v>
      </c>
      <c r="E17">
        <v>449200</v>
      </c>
      <c r="F17">
        <v>42301.1</v>
      </c>
      <c r="G17">
        <v>4492</v>
      </c>
      <c r="H17">
        <v>85</v>
      </c>
      <c r="I17">
        <v>17</v>
      </c>
      <c r="J17">
        <v>149141</v>
      </c>
    </row>
    <row r="18" spans="1:10" x14ac:dyDescent="0.25">
      <c r="A18">
        <v>17</v>
      </c>
      <c r="B18">
        <v>44229</v>
      </c>
      <c r="C18" t="s">
        <v>8</v>
      </c>
      <c r="D18" t="s">
        <v>1</v>
      </c>
      <c r="E18">
        <v>540200</v>
      </c>
      <c r="F18">
        <v>29081.1</v>
      </c>
      <c r="G18">
        <v>2701</v>
      </c>
      <c r="H18">
        <v>54</v>
      </c>
      <c r="I18">
        <v>9</v>
      </c>
      <c r="J18">
        <v>45585</v>
      </c>
    </row>
    <row r="19" spans="1:10" x14ac:dyDescent="0.25">
      <c r="A19">
        <v>18</v>
      </c>
      <c r="B19">
        <v>44229</v>
      </c>
      <c r="C19" t="s">
        <v>9</v>
      </c>
      <c r="D19" t="s">
        <v>27</v>
      </c>
      <c r="E19">
        <v>1020800</v>
      </c>
      <c r="F19">
        <v>1421.34</v>
      </c>
      <c r="G19">
        <v>5104</v>
      </c>
      <c r="H19">
        <v>14</v>
      </c>
      <c r="I19">
        <v>0</v>
      </c>
      <c r="J19">
        <v>0</v>
      </c>
    </row>
    <row r="20" spans="1:10" x14ac:dyDescent="0.25">
      <c r="A20">
        <v>19</v>
      </c>
      <c r="B20">
        <v>44229</v>
      </c>
      <c r="C20" t="s">
        <v>10</v>
      </c>
      <c r="D20" t="s">
        <v>27</v>
      </c>
      <c r="E20">
        <v>10033</v>
      </c>
      <c r="F20">
        <v>169.75</v>
      </c>
      <c r="G20">
        <v>301</v>
      </c>
      <c r="H20">
        <v>0</v>
      </c>
      <c r="I20">
        <v>0</v>
      </c>
      <c r="J20">
        <v>0</v>
      </c>
    </row>
    <row r="21" spans="1:10" x14ac:dyDescent="0.25">
      <c r="A21">
        <v>20</v>
      </c>
      <c r="B21">
        <v>44229</v>
      </c>
      <c r="C21" t="s">
        <v>11</v>
      </c>
      <c r="D21" t="s">
        <v>27</v>
      </c>
      <c r="E21">
        <v>107553</v>
      </c>
      <c r="F21">
        <v>8829.07</v>
      </c>
      <c r="G21">
        <v>1196</v>
      </c>
      <c r="H21">
        <v>7</v>
      </c>
      <c r="I21">
        <v>1</v>
      </c>
      <c r="J21">
        <v>1129</v>
      </c>
    </row>
    <row r="22" spans="1:10" x14ac:dyDescent="0.25">
      <c r="A22">
        <v>21</v>
      </c>
      <c r="B22">
        <v>44229</v>
      </c>
      <c r="C22" t="s">
        <v>12</v>
      </c>
      <c r="D22" t="s">
        <v>7</v>
      </c>
      <c r="E22">
        <v>299600</v>
      </c>
      <c r="F22">
        <v>13919.1</v>
      </c>
      <c r="G22">
        <v>2996</v>
      </c>
      <c r="H22">
        <v>19</v>
      </c>
      <c r="I22">
        <v>3</v>
      </c>
      <c r="J22">
        <v>14466</v>
      </c>
    </row>
    <row r="23" spans="1:10" x14ac:dyDescent="0.25">
      <c r="A23">
        <v>22</v>
      </c>
      <c r="B23">
        <v>44229</v>
      </c>
      <c r="C23" t="s">
        <v>13</v>
      </c>
      <c r="D23" t="s">
        <v>14</v>
      </c>
      <c r="E23">
        <v>42000000</v>
      </c>
      <c r="F23">
        <v>46159.8</v>
      </c>
      <c r="G23">
        <v>4200</v>
      </c>
      <c r="H23">
        <v>92</v>
      </c>
      <c r="I23">
        <v>13</v>
      </c>
      <c r="J23">
        <v>51753</v>
      </c>
    </row>
    <row r="24" spans="1:10" x14ac:dyDescent="0.25">
      <c r="A24">
        <v>23</v>
      </c>
      <c r="B24">
        <v>44230</v>
      </c>
      <c r="C24" t="s">
        <v>0</v>
      </c>
      <c r="D24" t="s">
        <v>1</v>
      </c>
      <c r="E24">
        <v>2313889</v>
      </c>
      <c r="F24">
        <v>65284.4</v>
      </c>
      <c r="G24">
        <v>7197</v>
      </c>
      <c r="H24">
        <v>115</v>
      </c>
      <c r="I24">
        <v>13</v>
      </c>
      <c r="J24">
        <v>72527</v>
      </c>
    </row>
    <row r="25" spans="1:10" x14ac:dyDescent="0.25">
      <c r="A25">
        <v>24</v>
      </c>
      <c r="B25">
        <v>44230</v>
      </c>
      <c r="C25" t="s">
        <v>2</v>
      </c>
      <c r="D25" t="s">
        <v>1</v>
      </c>
      <c r="E25">
        <v>1105666</v>
      </c>
      <c r="F25">
        <v>78958.3</v>
      </c>
      <c r="G25">
        <v>9898</v>
      </c>
      <c r="H25">
        <v>226</v>
      </c>
      <c r="I25">
        <v>12</v>
      </c>
      <c r="J25">
        <v>59772</v>
      </c>
    </row>
    <row r="26" spans="1:10" x14ac:dyDescent="0.25">
      <c r="A26">
        <v>25</v>
      </c>
      <c r="B26">
        <v>44230</v>
      </c>
      <c r="C26" t="s">
        <v>3</v>
      </c>
      <c r="D26" t="s">
        <v>4</v>
      </c>
      <c r="E26">
        <v>134900</v>
      </c>
      <c r="F26">
        <v>77345.5</v>
      </c>
      <c r="G26">
        <v>2698</v>
      </c>
      <c r="H26">
        <v>84</v>
      </c>
      <c r="I26">
        <v>16</v>
      </c>
      <c r="J26">
        <v>115856</v>
      </c>
    </row>
    <row r="27" spans="1:10" x14ac:dyDescent="0.25">
      <c r="A27">
        <v>26</v>
      </c>
      <c r="B27">
        <v>44230</v>
      </c>
      <c r="C27" t="s">
        <v>5</v>
      </c>
      <c r="D27" t="s">
        <v>4</v>
      </c>
      <c r="E27">
        <v>4371854</v>
      </c>
      <c r="F27">
        <v>49498.9</v>
      </c>
      <c r="G27">
        <v>7207</v>
      </c>
      <c r="H27">
        <v>144</v>
      </c>
      <c r="I27">
        <v>13</v>
      </c>
      <c r="J27">
        <v>38753</v>
      </c>
    </row>
    <row r="28" spans="1:10" x14ac:dyDescent="0.25">
      <c r="A28">
        <v>27</v>
      </c>
      <c r="B28">
        <v>44230</v>
      </c>
      <c r="C28" t="s">
        <v>6</v>
      </c>
      <c r="D28" t="s">
        <v>7</v>
      </c>
      <c r="E28">
        <v>1035261</v>
      </c>
      <c r="F28">
        <v>189341</v>
      </c>
      <c r="G28">
        <v>13503</v>
      </c>
      <c r="H28">
        <v>455</v>
      </c>
      <c r="I28">
        <v>91</v>
      </c>
      <c r="J28">
        <v>772499</v>
      </c>
    </row>
    <row r="29" spans="1:10" x14ac:dyDescent="0.25">
      <c r="A29">
        <v>28</v>
      </c>
      <c r="B29">
        <v>44230</v>
      </c>
      <c r="C29" t="s">
        <v>8</v>
      </c>
      <c r="D29" t="s">
        <v>1</v>
      </c>
      <c r="E29">
        <v>1618600</v>
      </c>
      <c r="F29">
        <v>62509.8</v>
      </c>
      <c r="G29">
        <v>8093</v>
      </c>
      <c r="H29">
        <v>166</v>
      </c>
      <c r="I29">
        <v>15</v>
      </c>
      <c r="J29">
        <v>84600</v>
      </c>
    </row>
    <row r="30" spans="1:10" x14ac:dyDescent="0.25">
      <c r="A30">
        <v>29</v>
      </c>
      <c r="B30">
        <v>44230</v>
      </c>
      <c r="C30" t="s">
        <v>9</v>
      </c>
      <c r="D30" t="s">
        <v>1</v>
      </c>
      <c r="E30">
        <v>3059600</v>
      </c>
      <c r="F30">
        <v>94399.9</v>
      </c>
      <c r="G30">
        <v>15298</v>
      </c>
      <c r="H30">
        <v>592</v>
      </c>
      <c r="I30">
        <v>36</v>
      </c>
      <c r="J30">
        <v>104184</v>
      </c>
    </row>
    <row r="31" spans="1:10" x14ac:dyDescent="0.25">
      <c r="A31">
        <v>30</v>
      </c>
      <c r="B31">
        <v>44230</v>
      </c>
      <c r="C31" t="s">
        <v>10</v>
      </c>
      <c r="D31" t="s">
        <v>1</v>
      </c>
      <c r="E31">
        <v>29867</v>
      </c>
      <c r="F31">
        <v>5039.51</v>
      </c>
      <c r="G31">
        <v>896</v>
      </c>
      <c r="H31">
        <v>18</v>
      </c>
      <c r="I31">
        <v>4</v>
      </c>
      <c r="J31">
        <v>23560</v>
      </c>
    </row>
    <row r="32" spans="1:10" x14ac:dyDescent="0.25">
      <c r="A32">
        <v>31</v>
      </c>
      <c r="B32">
        <v>44230</v>
      </c>
      <c r="C32" t="s">
        <v>11</v>
      </c>
      <c r="D32" t="s">
        <v>1</v>
      </c>
      <c r="E32">
        <v>295009</v>
      </c>
      <c r="F32">
        <v>76716.399999999994</v>
      </c>
      <c r="G32">
        <v>3595</v>
      </c>
      <c r="H32">
        <v>72</v>
      </c>
      <c r="I32">
        <v>9</v>
      </c>
      <c r="J32">
        <v>5607</v>
      </c>
    </row>
    <row r="33" spans="1:10" x14ac:dyDescent="0.25">
      <c r="A33">
        <v>32</v>
      </c>
      <c r="B33">
        <v>44230</v>
      </c>
      <c r="C33" t="s">
        <v>12</v>
      </c>
      <c r="D33" t="s">
        <v>7</v>
      </c>
      <c r="E33">
        <v>667352</v>
      </c>
      <c r="F33">
        <v>194336</v>
      </c>
      <c r="G33">
        <v>8996</v>
      </c>
      <c r="H33">
        <v>342</v>
      </c>
      <c r="I33">
        <v>51</v>
      </c>
      <c r="J33">
        <v>254031</v>
      </c>
    </row>
    <row r="34" spans="1:10" x14ac:dyDescent="0.25">
      <c r="A34">
        <v>33</v>
      </c>
      <c r="B34">
        <v>44230</v>
      </c>
      <c r="C34" t="s">
        <v>13</v>
      </c>
      <c r="D34" t="s">
        <v>14</v>
      </c>
      <c r="E34">
        <v>125910000</v>
      </c>
      <c r="F34">
        <v>29378.3</v>
      </c>
      <c r="G34">
        <v>12591</v>
      </c>
      <c r="H34">
        <v>68</v>
      </c>
      <c r="I34">
        <v>13</v>
      </c>
      <c r="J34">
        <v>51753</v>
      </c>
    </row>
    <row r="35" spans="1:10" x14ac:dyDescent="0.25">
      <c r="A35">
        <v>34</v>
      </c>
      <c r="B35">
        <v>44231</v>
      </c>
      <c r="C35" t="s">
        <v>0</v>
      </c>
      <c r="D35" t="s">
        <v>1</v>
      </c>
      <c r="E35">
        <v>2475754</v>
      </c>
      <c r="F35">
        <v>173914</v>
      </c>
      <c r="G35">
        <v>9601</v>
      </c>
      <c r="H35">
        <v>192</v>
      </c>
      <c r="I35">
        <v>31</v>
      </c>
      <c r="J35">
        <v>154411</v>
      </c>
    </row>
    <row r="36" spans="1:10" x14ac:dyDescent="0.25">
      <c r="A36">
        <v>35</v>
      </c>
      <c r="B36">
        <v>44231</v>
      </c>
      <c r="C36" t="s">
        <v>2</v>
      </c>
      <c r="D36" t="s">
        <v>1</v>
      </c>
      <c r="E36">
        <v>4597702</v>
      </c>
      <c r="F36">
        <v>115389</v>
      </c>
      <c r="G36">
        <v>13206</v>
      </c>
      <c r="H36">
        <v>143</v>
      </c>
      <c r="I36">
        <v>17</v>
      </c>
      <c r="J36">
        <v>82909</v>
      </c>
    </row>
    <row r="37" spans="1:10" x14ac:dyDescent="0.25">
      <c r="A37">
        <v>36</v>
      </c>
      <c r="B37">
        <v>44231</v>
      </c>
      <c r="C37" t="s">
        <v>3</v>
      </c>
      <c r="D37" t="s">
        <v>25</v>
      </c>
      <c r="E37">
        <v>196484</v>
      </c>
      <c r="F37">
        <v>41269.599999999999</v>
      </c>
      <c r="G37">
        <v>3599</v>
      </c>
      <c r="H37">
        <v>55</v>
      </c>
      <c r="I37">
        <v>9</v>
      </c>
      <c r="J37">
        <v>68589</v>
      </c>
    </row>
    <row r="38" spans="1:10" x14ac:dyDescent="0.25">
      <c r="A38">
        <v>37</v>
      </c>
      <c r="B38">
        <v>44231</v>
      </c>
      <c r="C38" t="s">
        <v>5</v>
      </c>
      <c r="D38" t="s">
        <v>4</v>
      </c>
      <c r="E38">
        <v>1531679</v>
      </c>
      <c r="F38">
        <v>60108.800000000003</v>
      </c>
      <c r="G38">
        <v>9591</v>
      </c>
      <c r="H38">
        <v>234</v>
      </c>
      <c r="I38">
        <v>17</v>
      </c>
      <c r="J38">
        <v>58990</v>
      </c>
    </row>
    <row r="39" spans="1:10" x14ac:dyDescent="0.25">
      <c r="A39">
        <v>38</v>
      </c>
      <c r="B39">
        <v>44231</v>
      </c>
      <c r="C39" t="s">
        <v>6</v>
      </c>
      <c r="D39" t="s">
        <v>7</v>
      </c>
      <c r="E39">
        <v>2120555</v>
      </c>
      <c r="F39">
        <v>185263</v>
      </c>
      <c r="G39">
        <v>17993</v>
      </c>
      <c r="H39">
        <v>445</v>
      </c>
      <c r="I39">
        <v>89</v>
      </c>
      <c r="J39">
        <v>624958</v>
      </c>
    </row>
    <row r="40" spans="1:10" x14ac:dyDescent="0.25">
      <c r="A40">
        <v>39</v>
      </c>
      <c r="B40">
        <v>44231</v>
      </c>
      <c r="C40" t="s">
        <v>8</v>
      </c>
      <c r="D40" t="s">
        <v>1</v>
      </c>
      <c r="E40">
        <v>1322751</v>
      </c>
      <c r="F40">
        <v>104028</v>
      </c>
      <c r="G40">
        <v>10794</v>
      </c>
      <c r="H40">
        <v>238</v>
      </c>
      <c r="I40">
        <v>27</v>
      </c>
      <c r="J40">
        <v>179037</v>
      </c>
    </row>
    <row r="41" spans="1:10" x14ac:dyDescent="0.25">
      <c r="A41">
        <v>40</v>
      </c>
      <c r="B41">
        <v>44231</v>
      </c>
      <c r="C41" t="s">
        <v>9</v>
      </c>
      <c r="D41" t="s">
        <v>1</v>
      </c>
      <c r="E41">
        <v>3008227</v>
      </c>
      <c r="F41">
        <v>40119.199999999997</v>
      </c>
      <c r="G41">
        <v>20392</v>
      </c>
      <c r="H41">
        <v>408</v>
      </c>
      <c r="I41">
        <v>12</v>
      </c>
      <c r="J41">
        <v>23772</v>
      </c>
    </row>
    <row r="42" spans="1:10" x14ac:dyDescent="0.25">
      <c r="A42">
        <v>41</v>
      </c>
      <c r="B42">
        <v>44231</v>
      </c>
      <c r="C42" t="s">
        <v>10</v>
      </c>
      <c r="D42" t="s">
        <v>1</v>
      </c>
      <c r="E42">
        <v>43160</v>
      </c>
      <c r="F42">
        <v>885.75</v>
      </c>
      <c r="G42">
        <v>1194</v>
      </c>
      <c r="H42">
        <v>4</v>
      </c>
      <c r="I42">
        <v>1</v>
      </c>
      <c r="J42">
        <v>5287</v>
      </c>
    </row>
    <row r="43" spans="1:10" x14ac:dyDescent="0.25">
      <c r="A43">
        <v>42</v>
      </c>
      <c r="B43">
        <v>44231</v>
      </c>
      <c r="C43" t="s">
        <v>11</v>
      </c>
      <c r="D43" t="s">
        <v>1</v>
      </c>
      <c r="E43">
        <v>432611</v>
      </c>
      <c r="F43">
        <v>120335</v>
      </c>
      <c r="G43">
        <v>4807</v>
      </c>
      <c r="H43">
        <v>71</v>
      </c>
      <c r="I43">
        <v>13</v>
      </c>
      <c r="J43">
        <v>6864</v>
      </c>
    </row>
    <row r="44" spans="1:10" x14ac:dyDescent="0.25">
      <c r="A44">
        <v>43</v>
      </c>
      <c r="B44">
        <v>44231</v>
      </c>
      <c r="C44" t="s">
        <v>12</v>
      </c>
      <c r="D44" t="s">
        <v>7</v>
      </c>
      <c r="E44">
        <v>1199300</v>
      </c>
      <c r="F44">
        <v>149279</v>
      </c>
      <c r="G44">
        <v>11993</v>
      </c>
      <c r="H44">
        <v>267</v>
      </c>
      <c r="I44">
        <v>38</v>
      </c>
      <c r="J44">
        <v>224542</v>
      </c>
    </row>
    <row r="45" spans="1:10" x14ac:dyDescent="0.25">
      <c r="A45">
        <v>44</v>
      </c>
      <c r="B45">
        <v>44231</v>
      </c>
      <c r="C45" t="s">
        <v>13</v>
      </c>
      <c r="D45" t="s">
        <v>14</v>
      </c>
      <c r="E45">
        <v>41924802</v>
      </c>
      <c r="F45">
        <v>177746</v>
      </c>
      <c r="G45">
        <v>16806</v>
      </c>
      <c r="H45">
        <v>336</v>
      </c>
      <c r="I45">
        <v>60</v>
      </c>
      <c r="J45">
        <v>204540</v>
      </c>
    </row>
    <row r="46" spans="1:10" x14ac:dyDescent="0.25">
      <c r="A46">
        <v>45</v>
      </c>
      <c r="B46">
        <v>44232</v>
      </c>
      <c r="C46" t="s">
        <v>0</v>
      </c>
      <c r="D46" t="s">
        <v>1</v>
      </c>
      <c r="E46">
        <v>3462883</v>
      </c>
      <c r="F46">
        <v>90691.7</v>
      </c>
      <c r="G46">
        <v>11997</v>
      </c>
      <c r="H46">
        <v>143</v>
      </c>
      <c r="I46">
        <v>17</v>
      </c>
      <c r="J46">
        <v>84677</v>
      </c>
    </row>
    <row r="47" spans="1:10" x14ac:dyDescent="0.25">
      <c r="A47">
        <v>46</v>
      </c>
      <c r="B47">
        <v>44232</v>
      </c>
      <c r="C47" t="s">
        <v>2</v>
      </c>
      <c r="D47" t="s">
        <v>1</v>
      </c>
      <c r="E47">
        <v>3299600</v>
      </c>
      <c r="F47">
        <v>261047</v>
      </c>
      <c r="G47">
        <v>16498</v>
      </c>
      <c r="H47">
        <v>330</v>
      </c>
      <c r="I47">
        <v>42</v>
      </c>
      <c r="J47">
        <v>209202</v>
      </c>
    </row>
    <row r="48" spans="1:10" x14ac:dyDescent="0.25">
      <c r="A48">
        <v>47</v>
      </c>
      <c r="B48">
        <v>44232</v>
      </c>
      <c r="C48" t="s">
        <v>3</v>
      </c>
      <c r="D48" t="s">
        <v>4</v>
      </c>
      <c r="E48">
        <v>236719</v>
      </c>
      <c r="F48">
        <v>96930.6</v>
      </c>
      <c r="G48">
        <v>4504</v>
      </c>
      <c r="H48">
        <v>151</v>
      </c>
      <c r="I48">
        <v>23</v>
      </c>
      <c r="J48">
        <v>177882</v>
      </c>
    </row>
    <row r="49" spans="1:10" x14ac:dyDescent="0.25">
      <c r="A49">
        <v>48</v>
      </c>
      <c r="B49">
        <v>44232</v>
      </c>
      <c r="C49" t="s">
        <v>5</v>
      </c>
      <c r="D49" t="s">
        <v>4</v>
      </c>
      <c r="E49">
        <v>9914040</v>
      </c>
      <c r="F49">
        <v>56875.199999999997</v>
      </c>
      <c r="G49">
        <v>11993</v>
      </c>
      <c r="H49">
        <v>139</v>
      </c>
      <c r="I49">
        <v>14</v>
      </c>
      <c r="J49">
        <v>49644</v>
      </c>
    </row>
    <row r="50" spans="1:10" x14ac:dyDescent="0.25">
      <c r="A50">
        <v>49</v>
      </c>
      <c r="B50">
        <v>44232</v>
      </c>
      <c r="C50" t="s">
        <v>6</v>
      </c>
      <c r="D50" t="s">
        <v>28</v>
      </c>
      <c r="E50">
        <v>1965108</v>
      </c>
      <c r="F50">
        <v>442617</v>
      </c>
      <c r="G50">
        <v>22507</v>
      </c>
      <c r="H50">
        <v>731</v>
      </c>
      <c r="I50">
        <v>146</v>
      </c>
      <c r="J50">
        <v>1165230</v>
      </c>
    </row>
    <row r="51" spans="1:10" x14ac:dyDescent="0.25">
      <c r="A51">
        <v>50</v>
      </c>
      <c r="B51">
        <v>44232</v>
      </c>
      <c r="C51" t="s">
        <v>8</v>
      </c>
      <c r="D51" t="s">
        <v>1</v>
      </c>
      <c r="E51">
        <v>7485780</v>
      </c>
      <c r="F51">
        <v>258306</v>
      </c>
      <c r="G51">
        <v>13498</v>
      </c>
      <c r="H51">
        <v>526</v>
      </c>
      <c r="I51">
        <v>76</v>
      </c>
      <c r="J51">
        <v>454556</v>
      </c>
    </row>
    <row r="52" spans="1:10" x14ac:dyDescent="0.25">
      <c r="A52">
        <v>51</v>
      </c>
      <c r="B52">
        <v>44232</v>
      </c>
      <c r="C52" t="s">
        <v>9</v>
      </c>
      <c r="D52" t="s">
        <v>1</v>
      </c>
      <c r="E52">
        <v>5100600</v>
      </c>
      <c r="F52">
        <v>13588.8</v>
      </c>
      <c r="G52">
        <v>25503</v>
      </c>
      <c r="H52">
        <v>765</v>
      </c>
      <c r="I52">
        <v>4</v>
      </c>
      <c r="J52">
        <v>7924</v>
      </c>
    </row>
    <row r="53" spans="1:10" x14ac:dyDescent="0.25">
      <c r="A53">
        <v>52</v>
      </c>
      <c r="B53">
        <v>44232</v>
      </c>
      <c r="C53" t="s">
        <v>10</v>
      </c>
      <c r="D53" t="s">
        <v>1</v>
      </c>
      <c r="E53">
        <v>48954</v>
      </c>
      <c r="F53">
        <v>6790.74</v>
      </c>
      <c r="G53">
        <v>1505</v>
      </c>
      <c r="H53">
        <v>30</v>
      </c>
      <c r="I53">
        <v>5</v>
      </c>
      <c r="J53">
        <v>27060</v>
      </c>
    </row>
    <row r="54" spans="1:10" x14ac:dyDescent="0.25">
      <c r="A54">
        <v>53</v>
      </c>
      <c r="B54">
        <v>44232</v>
      </c>
      <c r="C54" t="s">
        <v>11</v>
      </c>
      <c r="D54" t="s">
        <v>1</v>
      </c>
      <c r="E54">
        <v>600400</v>
      </c>
      <c r="F54">
        <v>192789</v>
      </c>
      <c r="G54">
        <v>6004</v>
      </c>
      <c r="H54">
        <v>120</v>
      </c>
      <c r="I54">
        <v>21</v>
      </c>
      <c r="J54">
        <v>9492</v>
      </c>
    </row>
    <row r="55" spans="1:10" x14ac:dyDescent="0.25">
      <c r="A55">
        <v>54</v>
      </c>
      <c r="B55">
        <v>44232</v>
      </c>
      <c r="C55" t="s">
        <v>12</v>
      </c>
      <c r="D55" t="s">
        <v>28</v>
      </c>
      <c r="E55">
        <v>2153303</v>
      </c>
      <c r="F55">
        <v>36431.699999999997</v>
      </c>
      <c r="G55">
        <v>15003</v>
      </c>
      <c r="H55">
        <v>51</v>
      </c>
      <c r="I55">
        <v>8</v>
      </c>
      <c r="J55">
        <v>47816</v>
      </c>
    </row>
    <row r="56" spans="1:10" x14ac:dyDescent="0.25">
      <c r="A56">
        <v>55</v>
      </c>
      <c r="B56">
        <v>44232</v>
      </c>
      <c r="C56" t="s">
        <v>13</v>
      </c>
      <c r="D56" t="s">
        <v>14</v>
      </c>
      <c r="E56">
        <v>8238872</v>
      </c>
      <c r="F56">
        <v>427922</v>
      </c>
      <c r="G56">
        <v>20997</v>
      </c>
      <c r="H56">
        <v>796</v>
      </c>
      <c r="I56">
        <v>119</v>
      </c>
      <c r="J56">
        <v>471240</v>
      </c>
    </row>
    <row r="57" spans="1:10" x14ac:dyDescent="0.25">
      <c r="A57">
        <v>56</v>
      </c>
      <c r="B57">
        <v>44233</v>
      </c>
      <c r="C57" t="s">
        <v>0</v>
      </c>
      <c r="D57" t="s">
        <v>1</v>
      </c>
      <c r="E57">
        <v>310024</v>
      </c>
      <c r="F57">
        <v>40407.9</v>
      </c>
      <c r="G57">
        <v>2391</v>
      </c>
      <c r="H57">
        <v>76</v>
      </c>
      <c r="I57">
        <v>9</v>
      </c>
      <c r="J57">
        <v>46152</v>
      </c>
    </row>
    <row r="58" spans="1:10" x14ac:dyDescent="0.25">
      <c r="A58">
        <v>57</v>
      </c>
      <c r="B58">
        <v>44233</v>
      </c>
      <c r="C58" t="s">
        <v>2</v>
      </c>
      <c r="D58" t="s">
        <v>1</v>
      </c>
      <c r="E58">
        <v>448321</v>
      </c>
      <c r="F58">
        <v>62272.6</v>
      </c>
      <c r="G58">
        <v>3302</v>
      </c>
      <c r="H58">
        <v>108</v>
      </c>
      <c r="I58">
        <v>9</v>
      </c>
      <c r="J58">
        <v>44829</v>
      </c>
    </row>
    <row r="59" spans="1:10" x14ac:dyDescent="0.25">
      <c r="A59">
        <v>58</v>
      </c>
      <c r="B59">
        <v>44233</v>
      </c>
      <c r="C59" t="s">
        <v>3</v>
      </c>
      <c r="D59" t="s">
        <v>4</v>
      </c>
      <c r="E59">
        <v>44950</v>
      </c>
      <c r="F59">
        <v>6768.87</v>
      </c>
      <c r="G59">
        <v>899</v>
      </c>
      <c r="H59">
        <v>13</v>
      </c>
      <c r="I59">
        <v>1</v>
      </c>
      <c r="J59">
        <v>8136</v>
      </c>
    </row>
    <row r="60" spans="1:10" x14ac:dyDescent="0.25">
      <c r="A60">
        <v>59</v>
      </c>
      <c r="B60">
        <v>44233</v>
      </c>
      <c r="C60" t="s">
        <v>5</v>
      </c>
      <c r="D60" t="s">
        <v>4</v>
      </c>
      <c r="E60">
        <v>478400</v>
      </c>
      <c r="F60">
        <v>22542</v>
      </c>
      <c r="G60">
        <v>2392</v>
      </c>
      <c r="H60">
        <v>48</v>
      </c>
      <c r="I60">
        <v>6</v>
      </c>
      <c r="J60">
        <v>13152</v>
      </c>
    </row>
    <row r="61" spans="1:10" x14ac:dyDescent="0.25">
      <c r="A61">
        <v>60</v>
      </c>
      <c r="B61">
        <v>44233</v>
      </c>
      <c r="C61" t="s">
        <v>6</v>
      </c>
      <c r="D61" t="s">
        <v>7</v>
      </c>
      <c r="E61">
        <v>472252</v>
      </c>
      <c r="F61">
        <v>80971.399999999994</v>
      </c>
      <c r="G61">
        <v>4508</v>
      </c>
      <c r="H61">
        <v>133</v>
      </c>
      <c r="I61">
        <v>27</v>
      </c>
      <c r="J61">
        <v>215487</v>
      </c>
    </row>
    <row r="62" spans="1:10" x14ac:dyDescent="0.25">
      <c r="A62">
        <v>61</v>
      </c>
      <c r="B62">
        <v>44233</v>
      </c>
      <c r="C62" t="s">
        <v>8</v>
      </c>
      <c r="D62" t="s">
        <v>1</v>
      </c>
      <c r="E62">
        <v>425467</v>
      </c>
      <c r="F62">
        <v>3661.53</v>
      </c>
      <c r="G62">
        <v>2695</v>
      </c>
      <c r="H62">
        <v>14</v>
      </c>
      <c r="I62">
        <v>1</v>
      </c>
      <c r="J62">
        <v>5958</v>
      </c>
    </row>
    <row r="63" spans="1:10" x14ac:dyDescent="0.25">
      <c r="A63">
        <v>62</v>
      </c>
      <c r="B63">
        <v>44233</v>
      </c>
      <c r="C63" t="s">
        <v>9</v>
      </c>
      <c r="D63" t="s">
        <v>1</v>
      </c>
      <c r="E63">
        <v>1589341</v>
      </c>
      <c r="F63">
        <v>12183.4</v>
      </c>
      <c r="G63">
        <v>5092</v>
      </c>
      <c r="H63">
        <v>102</v>
      </c>
      <c r="I63">
        <v>5</v>
      </c>
      <c r="J63">
        <v>12295</v>
      </c>
    </row>
    <row r="64" spans="1:10" x14ac:dyDescent="0.25">
      <c r="A64">
        <v>63</v>
      </c>
      <c r="B64">
        <v>44233</v>
      </c>
      <c r="C64" t="s">
        <v>10</v>
      </c>
      <c r="D64" t="s">
        <v>1</v>
      </c>
      <c r="E64">
        <v>10200</v>
      </c>
      <c r="F64">
        <v>1420.15</v>
      </c>
      <c r="G64">
        <v>306</v>
      </c>
      <c r="H64">
        <v>6</v>
      </c>
      <c r="I64">
        <v>1</v>
      </c>
      <c r="J64">
        <v>5492</v>
      </c>
    </row>
    <row r="65" spans="1:10" x14ac:dyDescent="0.25">
      <c r="A65">
        <v>64</v>
      </c>
      <c r="B65">
        <v>44233</v>
      </c>
      <c r="C65" t="s">
        <v>11</v>
      </c>
      <c r="D65" t="s">
        <v>1</v>
      </c>
      <c r="E65">
        <v>119700</v>
      </c>
      <c r="F65">
        <v>29281</v>
      </c>
      <c r="G65">
        <v>1197</v>
      </c>
      <c r="H65">
        <v>24</v>
      </c>
      <c r="I65">
        <v>4</v>
      </c>
      <c r="J65">
        <v>6428</v>
      </c>
    </row>
    <row r="66" spans="1:10" x14ac:dyDescent="0.25">
      <c r="A66">
        <v>65</v>
      </c>
      <c r="B66">
        <v>44233</v>
      </c>
      <c r="C66" t="s">
        <v>12</v>
      </c>
      <c r="D66" t="s">
        <v>7</v>
      </c>
      <c r="E66">
        <v>300700</v>
      </c>
      <c r="F66">
        <v>8289.2099999999991</v>
      </c>
      <c r="G66">
        <v>3007</v>
      </c>
      <c r="H66">
        <v>20</v>
      </c>
      <c r="I66">
        <v>2</v>
      </c>
      <c r="J66">
        <v>9450</v>
      </c>
    </row>
    <row r="67" spans="1:10" x14ac:dyDescent="0.25">
      <c r="A67">
        <v>66</v>
      </c>
      <c r="B67">
        <v>44233</v>
      </c>
      <c r="C67" t="s">
        <v>13</v>
      </c>
      <c r="D67" t="s">
        <v>14</v>
      </c>
      <c r="E67">
        <v>42070000</v>
      </c>
      <c r="F67">
        <v>38185.199999999997</v>
      </c>
      <c r="G67">
        <v>4207</v>
      </c>
      <c r="H67">
        <v>84</v>
      </c>
      <c r="I67">
        <v>10</v>
      </c>
      <c r="J67">
        <v>48820</v>
      </c>
    </row>
    <row r="68" spans="1:10" x14ac:dyDescent="0.25">
      <c r="A68">
        <v>67</v>
      </c>
      <c r="B68">
        <v>44234</v>
      </c>
      <c r="C68" t="s">
        <v>0</v>
      </c>
      <c r="D68" t="s">
        <v>1</v>
      </c>
      <c r="E68">
        <v>478000</v>
      </c>
      <c r="F68">
        <v>27314.400000000001</v>
      </c>
      <c r="G68">
        <v>2390</v>
      </c>
      <c r="H68">
        <v>45</v>
      </c>
      <c r="I68">
        <v>5</v>
      </c>
      <c r="J68">
        <v>24905</v>
      </c>
    </row>
    <row r="69" spans="1:10" x14ac:dyDescent="0.25">
      <c r="A69">
        <v>68</v>
      </c>
      <c r="B69">
        <v>44234</v>
      </c>
      <c r="C69" t="s">
        <v>2</v>
      </c>
      <c r="D69" t="s">
        <v>1</v>
      </c>
      <c r="E69">
        <v>659000</v>
      </c>
      <c r="F69">
        <v>38485.599999999999</v>
      </c>
      <c r="G69">
        <v>3295</v>
      </c>
      <c r="H69">
        <v>66</v>
      </c>
      <c r="I69">
        <v>5</v>
      </c>
      <c r="J69">
        <v>23735</v>
      </c>
    </row>
    <row r="70" spans="1:10" x14ac:dyDescent="0.25">
      <c r="A70">
        <v>69</v>
      </c>
      <c r="B70">
        <v>44234</v>
      </c>
      <c r="C70" t="s">
        <v>3</v>
      </c>
      <c r="D70" t="s">
        <v>4</v>
      </c>
      <c r="E70">
        <v>44650</v>
      </c>
      <c r="F70">
        <v>6426</v>
      </c>
      <c r="G70">
        <v>893</v>
      </c>
      <c r="H70">
        <v>18</v>
      </c>
      <c r="I70">
        <v>2</v>
      </c>
      <c r="J70">
        <v>14152</v>
      </c>
    </row>
    <row r="71" spans="1:10" x14ac:dyDescent="0.25">
      <c r="A71">
        <v>70</v>
      </c>
      <c r="B71">
        <v>44234</v>
      </c>
      <c r="C71" t="s">
        <v>5</v>
      </c>
      <c r="D71" t="s">
        <v>4</v>
      </c>
      <c r="E71">
        <v>1137473</v>
      </c>
      <c r="F71">
        <v>18102.099999999999</v>
      </c>
      <c r="G71">
        <v>2404</v>
      </c>
      <c r="H71">
        <v>48</v>
      </c>
      <c r="I71">
        <v>5</v>
      </c>
      <c r="J71">
        <v>17845</v>
      </c>
    </row>
    <row r="72" spans="1:10" x14ac:dyDescent="0.25">
      <c r="A72">
        <v>71</v>
      </c>
      <c r="B72">
        <v>44234</v>
      </c>
      <c r="C72" t="s">
        <v>6</v>
      </c>
      <c r="D72" t="s">
        <v>7</v>
      </c>
      <c r="E72">
        <v>694624</v>
      </c>
      <c r="F72">
        <v>31680.1</v>
      </c>
      <c r="G72">
        <v>4505</v>
      </c>
      <c r="H72">
        <v>82</v>
      </c>
      <c r="I72">
        <v>15</v>
      </c>
      <c r="J72">
        <v>119715</v>
      </c>
    </row>
    <row r="73" spans="1:10" x14ac:dyDescent="0.25">
      <c r="A73">
        <v>72</v>
      </c>
      <c r="B73">
        <v>44234</v>
      </c>
      <c r="C73" t="s">
        <v>8</v>
      </c>
      <c r="D73" t="s">
        <v>1</v>
      </c>
      <c r="E73">
        <v>1246126</v>
      </c>
      <c r="F73">
        <v>37965.9</v>
      </c>
      <c r="G73">
        <v>2696</v>
      </c>
      <c r="H73">
        <v>100</v>
      </c>
      <c r="I73">
        <v>11</v>
      </c>
      <c r="J73">
        <v>65791</v>
      </c>
    </row>
    <row r="74" spans="1:10" x14ac:dyDescent="0.25">
      <c r="A74">
        <v>73</v>
      </c>
      <c r="B74">
        <v>44234</v>
      </c>
      <c r="C74" t="s">
        <v>9</v>
      </c>
      <c r="D74" t="s">
        <v>1</v>
      </c>
      <c r="E74">
        <v>567096</v>
      </c>
      <c r="F74">
        <v>6747.94</v>
      </c>
      <c r="G74">
        <v>5103</v>
      </c>
      <c r="H74">
        <v>199</v>
      </c>
      <c r="I74">
        <v>2</v>
      </c>
      <c r="J74">
        <v>3962</v>
      </c>
    </row>
    <row r="75" spans="1:10" x14ac:dyDescent="0.25">
      <c r="A75">
        <v>74</v>
      </c>
      <c r="B75">
        <v>44234</v>
      </c>
      <c r="C75" t="s">
        <v>10</v>
      </c>
      <c r="D75" t="s">
        <v>1</v>
      </c>
      <c r="E75">
        <v>9938</v>
      </c>
      <c r="F75">
        <v>3435.44</v>
      </c>
      <c r="G75">
        <v>294</v>
      </c>
      <c r="H75">
        <v>6</v>
      </c>
      <c r="I75">
        <v>1</v>
      </c>
      <c r="J75">
        <v>4981</v>
      </c>
    </row>
    <row r="76" spans="1:10" x14ac:dyDescent="0.25">
      <c r="A76">
        <v>75</v>
      </c>
      <c r="B76">
        <v>44234</v>
      </c>
      <c r="C76" t="s">
        <v>11</v>
      </c>
      <c r="D76" t="s">
        <v>1</v>
      </c>
      <c r="E76">
        <v>174221</v>
      </c>
      <c r="F76">
        <v>10104.9</v>
      </c>
      <c r="G76">
        <v>1197</v>
      </c>
      <c r="H76">
        <v>6</v>
      </c>
      <c r="I76">
        <v>1</v>
      </c>
      <c r="J76">
        <v>981</v>
      </c>
    </row>
    <row r="77" spans="1:10" x14ac:dyDescent="0.25">
      <c r="A77">
        <v>76</v>
      </c>
      <c r="B77">
        <v>44234</v>
      </c>
      <c r="C77" t="s">
        <v>12</v>
      </c>
      <c r="D77" t="s">
        <v>7</v>
      </c>
      <c r="E77">
        <v>300700</v>
      </c>
      <c r="F77">
        <v>46167.6</v>
      </c>
      <c r="G77">
        <v>3007</v>
      </c>
      <c r="H77">
        <v>93</v>
      </c>
      <c r="I77">
        <v>12</v>
      </c>
      <c r="J77">
        <v>68076</v>
      </c>
    </row>
    <row r="78" spans="1:10" x14ac:dyDescent="0.25">
      <c r="A78">
        <v>77</v>
      </c>
      <c r="B78">
        <v>44234</v>
      </c>
      <c r="C78" t="s">
        <v>13</v>
      </c>
      <c r="D78" t="s">
        <v>14</v>
      </c>
      <c r="E78">
        <v>3957603</v>
      </c>
      <c r="F78">
        <v>79987.7</v>
      </c>
      <c r="G78">
        <v>4203</v>
      </c>
      <c r="H78">
        <v>142</v>
      </c>
      <c r="I78">
        <v>27</v>
      </c>
      <c r="J78">
        <v>90504</v>
      </c>
    </row>
    <row r="79" spans="1:10" x14ac:dyDescent="0.25">
      <c r="A79">
        <v>78</v>
      </c>
      <c r="B79">
        <v>44235</v>
      </c>
      <c r="C79" t="s">
        <v>0</v>
      </c>
      <c r="D79" t="s">
        <v>1</v>
      </c>
      <c r="E79">
        <v>479000</v>
      </c>
      <c r="F79">
        <v>27210.400000000001</v>
      </c>
      <c r="G79">
        <v>2395</v>
      </c>
      <c r="H79">
        <v>36</v>
      </c>
      <c r="I79">
        <v>5</v>
      </c>
      <c r="J79">
        <v>22345</v>
      </c>
    </row>
    <row r="80" spans="1:10" x14ac:dyDescent="0.25">
      <c r="A80">
        <v>79</v>
      </c>
      <c r="B80">
        <v>44235</v>
      </c>
      <c r="C80" t="s">
        <v>2</v>
      </c>
      <c r="D80" t="s">
        <v>1</v>
      </c>
      <c r="E80">
        <v>472656</v>
      </c>
      <c r="F80">
        <v>33752.800000000003</v>
      </c>
      <c r="G80">
        <v>3290</v>
      </c>
      <c r="H80">
        <v>66</v>
      </c>
      <c r="I80">
        <v>5</v>
      </c>
      <c r="J80">
        <v>28670</v>
      </c>
    </row>
    <row r="81" spans="1:10" x14ac:dyDescent="0.25">
      <c r="A81">
        <v>80</v>
      </c>
      <c r="B81">
        <v>44235</v>
      </c>
      <c r="C81" t="s">
        <v>3</v>
      </c>
      <c r="D81" t="s">
        <v>4</v>
      </c>
      <c r="E81">
        <v>51350</v>
      </c>
      <c r="F81">
        <v>6918.85</v>
      </c>
      <c r="G81">
        <v>904</v>
      </c>
      <c r="H81">
        <v>20</v>
      </c>
      <c r="I81">
        <v>2</v>
      </c>
      <c r="J81">
        <v>16240</v>
      </c>
    </row>
    <row r="82" spans="1:10" x14ac:dyDescent="0.25">
      <c r="A82">
        <v>81</v>
      </c>
      <c r="B82">
        <v>44235</v>
      </c>
      <c r="C82" t="s">
        <v>5</v>
      </c>
      <c r="D82" t="s">
        <v>4</v>
      </c>
      <c r="E82">
        <v>478000</v>
      </c>
      <c r="F82">
        <v>16567.5</v>
      </c>
      <c r="G82">
        <v>2390</v>
      </c>
      <c r="H82">
        <v>48</v>
      </c>
      <c r="I82">
        <v>5</v>
      </c>
      <c r="J82">
        <v>16995</v>
      </c>
    </row>
    <row r="83" spans="1:10" x14ac:dyDescent="0.25">
      <c r="A83">
        <v>82</v>
      </c>
      <c r="B83">
        <v>44235</v>
      </c>
      <c r="C83" t="s">
        <v>6</v>
      </c>
      <c r="D83" t="s">
        <v>7</v>
      </c>
      <c r="E83">
        <v>685530</v>
      </c>
      <c r="F83">
        <v>33892.6</v>
      </c>
      <c r="G83">
        <v>4491</v>
      </c>
      <c r="H83">
        <v>79</v>
      </c>
      <c r="I83">
        <v>16</v>
      </c>
      <c r="J83">
        <v>120176</v>
      </c>
    </row>
    <row r="84" spans="1:10" x14ac:dyDescent="0.25">
      <c r="A84">
        <v>83</v>
      </c>
      <c r="B84">
        <v>44235</v>
      </c>
      <c r="C84" t="s">
        <v>8</v>
      </c>
      <c r="D84" t="s">
        <v>1</v>
      </c>
      <c r="E84">
        <v>472836</v>
      </c>
      <c r="F84">
        <v>330.76</v>
      </c>
      <c r="G84">
        <v>2690</v>
      </c>
      <c r="H84">
        <v>1</v>
      </c>
      <c r="I84">
        <v>0</v>
      </c>
      <c r="J84">
        <v>0</v>
      </c>
    </row>
    <row r="85" spans="1:10" x14ac:dyDescent="0.25">
      <c r="A85">
        <v>84</v>
      </c>
      <c r="B85">
        <v>44235</v>
      </c>
      <c r="C85" t="s">
        <v>9</v>
      </c>
      <c r="D85" t="s">
        <v>1</v>
      </c>
      <c r="E85">
        <v>1020000</v>
      </c>
      <c r="F85">
        <v>2057.3000000000002</v>
      </c>
      <c r="G85">
        <v>5100</v>
      </c>
      <c r="H85">
        <v>102</v>
      </c>
      <c r="I85">
        <v>1</v>
      </c>
      <c r="J85">
        <v>1981</v>
      </c>
    </row>
    <row r="86" spans="1:10" x14ac:dyDescent="0.25">
      <c r="A86">
        <v>85</v>
      </c>
      <c r="B86">
        <v>44235</v>
      </c>
      <c r="C86" t="s">
        <v>10</v>
      </c>
      <c r="D86" t="s">
        <v>1</v>
      </c>
      <c r="E86">
        <v>10067</v>
      </c>
      <c r="F86">
        <v>4336.04</v>
      </c>
      <c r="G86">
        <v>302</v>
      </c>
      <c r="H86">
        <v>10</v>
      </c>
      <c r="I86">
        <v>2</v>
      </c>
      <c r="J86">
        <v>10036</v>
      </c>
    </row>
    <row r="87" spans="1:10" x14ac:dyDescent="0.25">
      <c r="A87">
        <v>86</v>
      </c>
      <c r="B87">
        <v>44235</v>
      </c>
      <c r="C87" t="s">
        <v>11</v>
      </c>
      <c r="D87" t="s">
        <v>1</v>
      </c>
      <c r="E87">
        <v>120200</v>
      </c>
      <c r="F87">
        <v>40099</v>
      </c>
      <c r="G87">
        <v>1202</v>
      </c>
      <c r="H87">
        <v>24</v>
      </c>
      <c r="I87">
        <v>5</v>
      </c>
      <c r="J87">
        <v>4905</v>
      </c>
    </row>
    <row r="88" spans="1:10" x14ac:dyDescent="0.25">
      <c r="A88">
        <v>87</v>
      </c>
      <c r="B88">
        <v>44235</v>
      </c>
      <c r="C88" t="s">
        <v>12</v>
      </c>
      <c r="D88" t="s">
        <v>7</v>
      </c>
      <c r="E88">
        <v>361650</v>
      </c>
      <c r="F88">
        <v>31154.3</v>
      </c>
      <c r="G88">
        <v>2991</v>
      </c>
      <c r="H88">
        <v>60</v>
      </c>
      <c r="I88">
        <v>9</v>
      </c>
      <c r="J88">
        <v>45027</v>
      </c>
    </row>
    <row r="89" spans="1:10" x14ac:dyDescent="0.25">
      <c r="A89">
        <v>88</v>
      </c>
      <c r="B89">
        <v>44235</v>
      </c>
      <c r="C89" t="s">
        <v>13</v>
      </c>
      <c r="D89" t="s">
        <v>14</v>
      </c>
      <c r="E89">
        <v>2233790</v>
      </c>
      <c r="F89">
        <v>31883.9</v>
      </c>
      <c r="G89">
        <v>4197</v>
      </c>
      <c r="H89">
        <v>84</v>
      </c>
      <c r="I89">
        <v>10</v>
      </c>
      <c r="J89">
        <v>42280</v>
      </c>
    </row>
    <row r="90" spans="1:10" x14ac:dyDescent="0.25">
      <c r="A90">
        <v>89</v>
      </c>
      <c r="B90">
        <v>44236</v>
      </c>
      <c r="C90" t="s">
        <v>0</v>
      </c>
      <c r="D90" t="s">
        <v>1</v>
      </c>
      <c r="E90">
        <v>478600</v>
      </c>
      <c r="F90">
        <v>49036.5</v>
      </c>
      <c r="G90">
        <v>2393</v>
      </c>
      <c r="H90">
        <v>68</v>
      </c>
      <c r="I90">
        <v>9</v>
      </c>
      <c r="J90">
        <v>42813</v>
      </c>
    </row>
    <row r="91" spans="1:10" x14ac:dyDescent="0.25">
      <c r="A91">
        <v>90</v>
      </c>
      <c r="B91">
        <v>44236</v>
      </c>
      <c r="C91" t="s">
        <v>2</v>
      </c>
      <c r="D91" t="s">
        <v>1</v>
      </c>
      <c r="E91">
        <v>555116</v>
      </c>
      <c r="F91">
        <v>62119.4</v>
      </c>
      <c r="G91">
        <v>3303</v>
      </c>
      <c r="H91">
        <v>96</v>
      </c>
      <c r="I91">
        <v>11</v>
      </c>
      <c r="J91">
        <v>54791</v>
      </c>
    </row>
    <row r="92" spans="1:10" x14ac:dyDescent="0.25">
      <c r="A92">
        <v>91</v>
      </c>
      <c r="B92">
        <v>44236</v>
      </c>
      <c r="C92" t="s">
        <v>3</v>
      </c>
      <c r="D92" t="s">
        <v>4</v>
      </c>
      <c r="E92">
        <v>44900</v>
      </c>
      <c r="F92">
        <v>3095.21</v>
      </c>
      <c r="G92">
        <v>898</v>
      </c>
      <c r="H92">
        <v>5</v>
      </c>
      <c r="I92">
        <v>1</v>
      </c>
      <c r="J92">
        <v>7998</v>
      </c>
    </row>
    <row r="93" spans="1:10" x14ac:dyDescent="0.25">
      <c r="A93">
        <v>92</v>
      </c>
      <c r="B93">
        <v>44236</v>
      </c>
      <c r="C93" t="s">
        <v>5</v>
      </c>
      <c r="D93" t="s">
        <v>4</v>
      </c>
      <c r="E93">
        <v>478600</v>
      </c>
      <c r="F93">
        <v>20299.3</v>
      </c>
      <c r="G93">
        <v>2393</v>
      </c>
      <c r="H93">
        <v>48</v>
      </c>
      <c r="I93">
        <v>5</v>
      </c>
      <c r="J93">
        <v>14905</v>
      </c>
    </row>
    <row r="94" spans="1:10" x14ac:dyDescent="0.25">
      <c r="A94">
        <v>93</v>
      </c>
      <c r="B94">
        <v>44236</v>
      </c>
      <c r="C94" t="s">
        <v>6</v>
      </c>
      <c r="D94" t="s">
        <v>7</v>
      </c>
      <c r="E94">
        <v>491821</v>
      </c>
      <c r="F94">
        <v>27833</v>
      </c>
      <c r="G94">
        <v>4495</v>
      </c>
      <c r="H94">
        <v>90</v>
      </c>
      <c r="I94">
        <v>18</v>
      </c>
      <c r="J94">
        <v>143658</v>
      </c>
    </row>
    <row r="95" spans="1:10" x14ac:dyDescent="0.25">
      <c r="A95">
        <v>94</v>
      </c>
      <c r="B95">
        <v>44236</v>
      </c>
      <c r="C95" t="s">
        <v>8</v>
      </c>
      <c r="D95" t="s">
        <v>1</v>
      </c>
      <c r="E95">
        <v>759532</v>
      </c>
      <c r="F95">
        <v>10317</v>
      </c>
      <c r="G95">
        <v>2701</v>
      </c>
      <c r="H95">
        <v>19</v>
      </c>
      <c r="I95">
        <v>3</v>
      </c>
      <c r="J95">
        <v>19800</v>
      </c>
    </row>
    <row r="96" spans="1:10" x14ac:dyDescent="0.25">
      <c r="A96">
        <v>95</v>
      </c>
      <c r="B96">
        <v>44236</v>
      </c>
      <c r="C96" t="s">
        <v>9</v>
      </c>
      <c r="D96" t="s">
        <v>1</v>
      </c>
      <c r="E96">
        <v>1022000</v>
      </c>
      <c r="F96">
        <v>7398.26</v>
      </c>
      <c r="G96">
        <v>5110</v>
      </c>
      <c r="H96">
        <v>102</v>
      </c>
      <c r="I96">
        <v>3</v>
      </c>
      <c r="J96">
        <v>5943</v>
      </c>
    </row>
    <row r="97" spans="1:10" x14ac:dyDescent="0.25">
      <c r="A97">
        <v>96</v>
      </c>
      <c r="B97">
        <v>44236</v>
      </c>
      <c r="C97" t="s">
        <v>10</v>
      </c>
      <c r="D97" t="s">
        <v>1</v>
      </c>
      <c r="E97">
        <v>9721</v>
      </c>
      <c r="F97">
        <v>2152.37</v>
      </c>
      <c r="G97">
        <v>290</v>
      </c>
      <c r="H97">
        <v>6</v>
      </c>
      <c r="I97">
        <v>1</v>
      </c>
      <c r="J97">
        <v>4353</v>
      </c>
    </row>
    <row r="98" spans="1:10" x14ac:dyDescent="0.25">
      <c r="A98">
        <v>97</v>
      </c>
      <c r="B98">
        <v>44236</v>
      </c>
      <c r="C98" t="s">
        <v>11</v>
      </c>
      <c r="D98" t="s">
        <v>1</v>
      </c>
      <c r="E98">
        <v>189854</v>
      </c>
      <c r="F98">
        <v>29091.4</v>
      </c>
      <c r="G98">
        <v>1198</v>
      </c>
      <c r="H98">
        <v>24</v>
      </c>
      <c r="I98">
        <v>3</v>
      </c>
      <c r="J98">
        <v>2943</v>
      </c>
    </row>
    <row r="99" spans="1:10" x14ac:dyDescent="0.25">
      <c r="A99">
        <v>98</v>
      </c>
      <c r="B99">
        <v>44236</v>
      </c>
      <c r="C99" t="s">
        <v>12</v>
      </c>
      <c r="D99" t="s">
        <v>7</v>
      </c>
      <c r="E99">
        <v>346068</v>
      </c>
      <c r="F99">
        <v>57642.400000000001</v>
      </c>
      <c r="G99">
        <v>3006</v>
      </c>
      <c r="H99">
        <v>99</v>
      </c>
      <c r="I99">
        <v>15</v>
      </c>
      <c r="J99">
        <v>89460</v>
      </c>
    </row>
    <row r="100" spans="1:10" x14ac:dyDescent="0.25">
      <c r="A100">
        <v>99</v>
      </c>
      <c r="B100">
        <v>44236</v>
      </c>
      <c r="C100" t="s">
        <v>13</v>
      </c>
      <c r="D100" t="s">
        <v>14</v>
      </c>
      <c r="E100">
        <v>3736884</v>
      </c>
      <c r="F100">
        <v>44731.7</v>
      </c>
      <c r="G100">
        <v>4190</v>
      </c>
      <c r="H100">
        <v>84</v>
      </c>
      <c r="I100">
        <v>13</v>
      </c>
      <c r="J100">
        <v>51259</v>
      </c>
    </row>
    <row r="101" spans="1:10" x14ac:dyDescent="0.25">
      <c r="A101">
        <v>100</v>
      </c>
      <c r="B101">
        <v>44237</v>
      </c>
      <c r="C101" t="s">
        <v>0</v>
      </c>
      <c r="D101" t="s">
        <v>1</v>
      </c>
      <c r="E101">
        <v>961800</v>
      </c>
      <c r="F101">
        <v>43386.400000000001</v>
      </c>
      <c r="G101">
        <v>4809</v>
      </c>
      <c r="H101">
        <v>96</v>
      </c>
      <c r="I101">
        <v>8</v>
      </c>
      <c r="J101">
        <v>42400</v>
      </c>
    </row>
    <row r="102" spans="1:10" x14ac:dyDescent="0.25">
      <c r="A102">
        <v>101</v>
      </c>
      <c r="B102">
        <v>44237</v>
      </c>
      <c r="C102" t="s">
        <v>2</v>
      </c>
      <c r="D102" t="s">
        <v>1</v>
      </c>
      <c r="E102">
        <v>852250</v>
      </c>
      <c r="F102">
        <v>43865.9</v>
      </c>
      <c r="G102">
        <v>6596</v>
      </c>
      <c r="H102">
        <v>132</v>
      </c>
      <c r="I102">
        <v>7</v>
      </c>
      <c r="J102">
        <v>34867</v>
      </c>
    </row>
    <row r="103" spans="1:10" x14ac:dyDescent="0.25">
      <c r="A103">
        <v>102</v>
      </c>
      <c r="B103">
        <v>44237</v>
      </c>
      <c r="C103" t="s">
        <v>3</v>
      </c>
      <c r="D103" t="s">
        <v>4</v>
      </c>
      <c r="E103">
        <v>108748</v>
      </c>
      <c r="F103">
        <v>51883.1</v>
      </c>
      <c r="G103">
        <v>1797</v>
      </c>
      <c r="H103">
        <v>57</v>
      </c>
      <c r="I103">
        <v>11</v>
      </c>
      <c r="J103">
        <v>86724</v>
      </c>
    </row>
    <row r="104" spans="1:10" x14ac:dyDescent="0.25">
      <c r="A104">
        <v>103</v>
      </c>
      <c r="B104">
        <v>44237</v>
      </c>
      <c r="C104" t="s">
        <v>5</v>
      </c>
      <c r="D104" t="s">
        <v>4</v>
      </c>
      <c r="E104">
        <v>797238</v>
      </c>
      <c r="F104">
        <v>67577.8</v>
      </c>
      <c r="G104">
        <v>4797</v>
      </c>
      <c r="H104">
        <v>154</v>
      </c>
      <c r="I104">
        <v>19</v>
      </c>
      <c r="J104">
        <v>42598</v>
      </c>
    </row>
    <row r="105" spans="1:10" x14ac:dyDescent="0.25">
      <c r="A105">
        <v>104</v>
      </c>
      <c r="B105">
        <v>44237</v>
      </c>
      <c r="C105" t="s">
        <v>6</v>
      </c>
      <c r="D105" t="s">
        <v>7</v>
      </c>
      <c r="E105">
        <v>1469962</v>
      </c>
      <c r="F105">
        <v>19831.400000000001</v>
      </c>
      <c r="G105">
        <v>8998</v>
      </c>
      <c r="H105">
        <v>80</v>
      </c>
      <c r="I105">
        <v>16</v>
      </c>
      <c r="J105">
        <v>130768</v>
      </c>
    </row>
    <row r="106" spans="1:10" x14ac:dyDescent="0.25">
      <c r="A106">
        <v>105</v>
      </c>
      <c r="B106">
        <v>44237</v>
      </c>
      <c r="C106" t="s">
        <v>8</v>
      </c>
      <c r="D106" t="s">
        <v>1</v>
      </c>
      <c r="E106">
        <v>3858193</v>
      </c>
      <c r="F106">
        <v>38890.300000000003</v>
      </c>
      <c r="G106">
        <v>5406</v>
      </c>
      <c r="H106">
        <v>186</v>
      </c>
      <c r="I106">
        <v>14</v>
      </c>
      <c r="J106">
        <v>83734</v>
      </c>
    </row>
    <row r="107" spans="1:10" x14ac:dyDescent="0.25">
      <c r="A107">
        <v>106</v>
      </c>
      <c r="B107">
        <v>44237</v>
      </c>
      <c r="C107" t="s">
        <v>9</v>
      </c>
      <c r="D107" t="s">
        <v>1</v>
      </c>
      <c r="E107">
        <v>2040000</v>
      </c>
      <c r="F107">
        <v>14147.9</v>
      </c>
      <c r="G107">
        <v>10200</v>
      </c>
      <c r="H107">
        <v>395</v>
      </c>
      <c r="I107">
        <v>4</v>
      </c>
      <c r="J107">
        <v>7924</v>
      </c>
    </row>
    <row r="108" spans="1:10" x14ac:dyDescent="0.25">
      <c r="A108">
        <v>107</v>
      </c>
      <c r="B108">
        <v>44237</v>
      </c>
      <c r="C108" t="s">
        <v>10</v>
      </c>
      <c r="D108" t="s">
        <v>1</v>
      </c>
      <c r="E108">
        <v>18399</v>
      </c>
      <c r="F108">
        <v>12713</v>
      </c>
      <c r="G108">
        <v>599</v>
      </c>
      <c r="H108">
        <v>22</v>
      </c>
      <c r="I108">
        <v>5</v>
      </c>
      <c r="J108">
        <v>27065</v>
      </c>
    </row>
    <row r="109" spans="1:10" x14ac:dyDescent="0.25">
      <c r="A109">
        <v>108</v>
      </c>
      <c r="B109">
        <v>44237</v>
      </c>
      <c r="C109" t="s">
        <v>11</v>
      </c>
      <c r="D109" t="s">
        <v>1</v>
      </c>
      <c r="E109">
        <v>321713</v>
      </c>
      <c r="F109">
        <v>131236</v>
      </c>
      <c r="G109">
        <v>2396</v>
      </c>
      <c r="H109">
        <v>88</v>
      </c>
      <c r="I109">
        <v>15</v>
      </c>
      <c r="J109">
        <v>14715</v>
      </c>
    </row>
    <row r="110" spans="1:10" x14ac:dyDescent="0.25">
      <c r="A110">
        <v>109</v>
      </c>
      <c r="B110">
        <v>44237</v>
      </c>
      <c r="C110" t="s">
        <v>12</v>
      </c>
      <c r="D110" t="s">
        <v>7</v>
      </c>
      <c r="E110">
        <v>489728</v>
      </c>
      <c r="F110">
        <v>126901</v>
      </c>
      <c r="G110">
        <v>6005</v>
      </c>
      <c r="H110">
        <v>187</v>
      </c>
      <c r="I110">
        <v>34</v>
      </c>
      <c r="J110">
        <v>143888</v>
      </c>
    </row>
    <row r="111" spans="1:10" x14ac:dyDescent="0.25">
      <c r="A111">
        <v>110</v>
      </c>
      <c r="B111">
        <v>44237</v>
      </c>
      <c r="C111" t="s">
        <v>13</v>
      </c>
      <c r="D111" t="s">
        <v>14</v>
      </c>
      <c r="E111">
        <v>5219501</v>
      </c>
      <c r="F111">
        <v>179519</v>
      </c>
      <c r="G111">
        <v>8391</v>
      </c>
      <c r="H111">
        <v>302</v>
      </c>
      <c r="I111">
        <v>60</v>
      </c>
      <c r="J111">
        <v>196680</v>
      </c>
    </row>
    <row r="112" spans="1:10" x14ac:dyDescent="0.25">
      <c r="A112">
        <v>111</v>
      </c>
      <c r="B112">
        <v>44238</v>
      </c>
      <c r="C112" t="s">
        <v>0</v>
      </c>
      <c r="D112" t="s">
        <v>1</v>
      </c>
      <c r="E112">
        <v>1061233</v>
      </c>
      <c r="F112">
        <v>105681</v>
      </c>
      <c r="G112">
        <v>7206</v>
      </c>
      <c r="H112">
        <v>144</v>
      </c>
      <c r="I112">
        <v>23</v>
      </c>
      <c r="J112">
        <v>105225</v>
      </c>
    </row>
    <row r="113" spans="1:10" x14ac:dyDescent="0.25">
      <c r="A113">
        <v>112</v>
      </c>
      <c r="B113">
        <v>44238</v>
      </c>
      <c r="C113" t="s">
        <v>2</v>
      </c>
      <c r="D113" t="s">
        <v>1</v>
      </c>
      <c r="E113">
        <v>4564542</v>
      </c>
      <c r="F113">
        <v>188516</v>
      </c>
      <c r="G113">
        <v>9895</v>
      </c>
      <c r="H113">
        <v>304</v>
      </c>
      <c r="I113">
        <v>28</v>
      </c>
      <c r="J113">
        <v>131068</v>
      </c>
    </row>
    <row r="114" spans="1:10" x14ac:dyDescent="0.25">
      <c r="A114">
        <v>113</v>
      </c>
      <c r="B114">
        <v>44238</v>
      </c>
      <c r="C114" t="s">
        <v>3</v>
      </c>
      <c r="D114" t="s">
        <v>4</v>
      </c>
      <c r="E114">
        <v>134600</v>
      </c>
      <c r="F114">
        <v>26220.400000000001</v>
      </c>
      <c r="G114">
        <v>2692</v>
      </c>
      <c r="H114">
        <v>54</v>
      </c>
      <c r="I114">
        <v>6</v>
      </c>
      <c r="J114">
        <v>48990</v>
      </c>
    </row>
    <row r="115" spans="1:10" x14ac:dyDescent="0.25">
      <c r="A115">
        <v>114</v>
      </c>
      <c r="B115">
        <v>44238</v>
      </c>
      <c r="C115" t="s">
        <v>5</v>
      </c>
      <c r="D115" t="s">
        <v>4</v>
      </c>
      <c r="E115">
        <v>1254537</v>
      </c>
      <c r="F115">
        <v>51422.5</v>
      </c>
      <c r="G115">
        <v>7198</v>
      </c>
      <c r="H115">
        <v>144</v>
      </c>
      <c r="I115">
        <v>14</v>
      </c>
      <c r="J115">
        <v>41986</v>
      </c>
    </row>
    <row r="116" spans="1:10" x14ac:dyDescent="0.25">
      <c r="A116">
        <v>115</v>
      </c>
      <c r="B116">
        <v>44238</v>
      </c>
      <c r="C116" t="s">
        <v>6</v>
      </c>
      <c r="D116" t="s">
        <v>7</v>
      </c>
      <c r="E116">
        <v>1210466</v>
      </c>
      <c r="F116">
        <v>197161</v>
      </c>
      <c r="G116">
        <v>13506</v>
      </c>
      <c r="H116">
        <v>474</v>
      </c>
      <c r="I116">
        <v>95</v>
      </c>
      <c r="J116">
        <v>831820</v>
      </c>
    </row>
    <row r="117" spans="1:10" x14ac:dyDescent="0.25">
      <c r="A117">
        <v>116</v>
      </c>
      <c r="B117">
        <v>44238</v>
      </c>
      <c r="C117" t="s">
        <v>8</v>
      </c>
      <c r="D117" t="s">
        <v>1</v>
      </c>
      <c r="E117">
        <v>2224531</v>
      </c>
      <c r="F117">
        <v>348.99</v>
      </c>
      <c r="G117">
        <v>8106</v>
      </c>
      <c r="H117">
        <v>1</v>
      </c>
      <c r="I117">
        <v>0</v>
      </c>
      <c r="J117">
        <v>0</v>
      </c>
    </row>
    <row r="118" spans="1:10" x14ac:dyDescent="0.25">
      <c r="A118">
        <v>117</v>
      </c>
      <c r="B118">
        <v>44238</v>
      </c>
      <c r="C118" t="s">
        <v>9</v>
      </c>
      <c r="D118" t="s">
        <v>1</v>
      </c>
      <c r="E118">
        <v>3058200</v>
      </c>
      <c r="F118">
        <v>4138.7299999999996</v>
      </c>
      <c r="G118">
        <v>15291</v>
      </c>
      <c r="H118">
        <v>114</v>
      </c>
      <c r="I118">
        <v>1</v>
      </c>
      <c r="J118">
        <v>2771</v>
      </c>
    </row>
    <row r="119" spans="1:10" x14ac:dyDescent="0.25">
      <c r="A119">
        <v>118</v>
      </c>
      <c r="B119">
        <v>44238</v>
      </c>
      <c r="C119" t="s">
        <v>10</v>
      </c>
      <c r="D119" t="s">
        <v>1</v>
      </c>
      <c r="E119">
        <v>26774</v>
      </c>
      <c r="F119">
        <v>17711.099999999999</v>
      </c>
      <c r="G119">
        <v>893</v>
      </c>
      <c r="H119">
        <v>27</v>
      </c>
      <c r="I119">
        <v>6</v>
      </c>
      <c r="J119">
        <v>29886</v>
      </c>
    </row>
    <row r="120" spans="1:10" x14ac:dyDescent="0.25">
      <c r="A120">
        <v>119</v>
      </c>
      <c r="B120">
        <v>44238</v>
      </c>
      <c r="C120" t="s">
        <v>11</v>
      </c>
      <c r="D120" t="s">
        <v>1</v>
      </c>
      <c r="E120">
        <v>359500</v>
      </c>
      <c r="F120">
        <v>6171.15</v>
      </c>
      <c r="G120">
        <v>3595</v>
      </c>
      <c r="H120">
        <v>5</v>
      </c>
      <c r="I120">
        <v>1</v>
      </c>
      <c r="J120">
        <v>677</v>
      </c>
    </row>
    <row r="121" spans="1:10" x14ac:dyDescent="0.25">
      <c r="A121">
        <v>120</v>
      </c>
      <c r="B121">
        <v>44238</v>
      </c>
      <c r="C121" t="s">
        <v>12</v>
      </c>
      <c r="D121" t="s">
        <v>7</v>
      </c>
      <c r="E121">
        <v>900400</v>
      </c>
      <c r="F121">
        <v>128751</v>
      </c>
      <c r="G121">
        <v>9004</v>
      </c>
      <c r="H121">
        <v>227</v>
      </c>
      <c r="I121">
        <v>29</v>
      </c>
      <c r="J121">
        <v>143869</v>
      </c>
    </row>
    <row r="122" spans="1:10" x14ac:dyDescent="0.25">
      <c r="A122">
        <v>121</v>
      </c>
      <c r="B122">
        <v>44238</v>
      </c>
      <c r="C122" t="s">
        <v>13</v>
      </c>
      <c r="D122" t="s">
        <v>14</v>
      </c>
      <c r="E122">
        <v>5125187</v>
      </c>
      <c r="F122">
        <v>193124</v>
      </c>
      <c r="G122">
        <v>12602</v>
      </c>
      <c r="H122">
        <v>482</v>
      </c>
      <c r="I122">
        <v>57</v>
      </c>
      <c r="J122">
        <v>226917</v>
      </c>
    </row>
    <row r="123" spans="1:10" x14ac:dyDescent="0.25">
      <c r="A123">
        <v>122</v>
      </c>
      <c r="B123">
        <v>44239</v>
      </c>
      <c r="C123" t="s">
        <v>0</v>
      </c>
      <c r="D123" t="s">
        <v>1</v>
      </c>
      <c r="E123">
        <v>1804868</v>
      </c>
      <c r="F123">
        <v>110004</v>
      </c>
      <c r="G123">
        <v>9607</v>
      </c>
      <c r="H123">
        <v>192</v>
      </c>
      <c r="I123">
        <v>23</v>
      </c>
      <c r="J123">
        <v>96163</v>
      </c>
    </row>
    <row r="124" spans="1:10" x14ac:dyDescent="0.25">
      <c r="A124">
        <v>123</v>
      </c>
      <c r="B124">
        <v>44239</v>
      </c>
      <c r="C124" t="s">
        <v>2</v>
      </c>
      <c r="D124" t="s">
        <v>1</v>
      </c>
      <c r="E124">
        <v>2639200</v>
      </c>
      <c r="F124">
        <v>191722</v>
      </c>
      <c r="G124">
        <v>13196</v>
      </c>
      <c r="H124">
        <v>325</v>
      </c>
      <c r="I124">
        <v>32</v>
      </c>
      <c r="J124">
        <v>176512</v>
      </c>
    </row>
    <row r="125" spans="1:10" x14ac:dyDescent="0.25">
      <c r="A125">
        <v>124</v>
      </c>
      <c r="B125">
        <v>44239</v>
      </c>
      <c r="C125" t="s">
        <v>3</v>
      </c>
      <c r="D125" t="s">
        <v>4</v>
      </c>
      <c r="E125">
        <v>161493</v>
      </c>
      <c r="F125">
        <v>59745.3</v>
      </c>
      <c r="G125">
        <v>3602</v>
      </c>
      <c r="H125">
        <v>72</v>
      </c>
      <c r="I125">
        <v>14</v>
      </c>
      <c r="J125">
        <v>122710</v>
      </c>
    </row>
    <row r="126" spans="1:10" x14ac:dyDescent="0.25">
      <c r="A126">
        <v>125</v>
      </c>
      <c r="B126">
        <v>44239</v>
      </c>
      <c r="C126" t="s">
        <v>5</v>
      </c>
      <c r="D126" t="s">
        <v>4</v>
      </c>
      <c r="E126">
        <v>1502383</v>
      </c>
      <c r="F126">
        <v>86733.1</v>
      </c>
      <c r="G126">
        <v>9605</v>
      </c>
      <c r="H126">
        <v>192</v>
      </c>
      <c r="I126">
        <v>19</v>
      </c>
      <c r="J126">
        <v>56639</v>
      </c>
    </row>
    <row r="127" spans="1:10" x14ac:dyDescent="0.25">
      <c r="A127">
        <v>126</v>
      </c>
      <c r="B127">
        <v>44239</v>
      </c>
      <c r="C127" t="s">
        <v>6</v>
      </c>
      <c r="D127" t="s">
        <v>7</v>
      </c>
      <c r="E127">
        <v>1299708</v>
      </c>
      <c r="F127">
        <v>121652</v>
      </c>
      <c r="G127">
        <v>17994</v>
      </c>
      <c r="H127">
        <v>378</v>
      </c>
      <c r="I127">
        <v>61</v>
      </c>
      <c r="J127">
        <v>486841</v>
      </c>
    </row>
    <row r="128" spans="1:10" x14ac:dyDescent="0.25">
      <c r="A128">
        <v>127</v>
      </c>
      <c r="B128">
        <v>44239</v>
      </c>
      <c r="C128" t="s">
        <v>8</v>
      </c>
      <c r="D128" t="s">
        <v>1</v>
      </c>
      <c r="E128">
        <v>3735390</v>
      </c>
      <c r="F128">
        <v>26659.9</v>
      </c>
      <c r="G128">
        <v>10806</v>
      </c>
      <c r="H128">
        <v>115</v>
      </c>
      <c r="I128">
        <v>9</v>
      </c>
      <c r="J128">
        <v>53523</v>
      </c>
    </row>
    <row r="129" spans="1:10" x14ac:dyDescent="0.25">
      <c r="A129">
        <v>128</v>
      </c>
      <c r="B129">
        <v>44239</v>
      </c>
      <c r="C129" t="s">
        <v>9</v>
      </c>
      <c r="D129" t="s">
        <v>1</v>
      </c>
      <c r="E129">
        <v>7156880</v>
      </c>
      <c r="F129">
        <v>49060.3</v>
      </c>
      <c r="G129">
        <v>20391</v>
      </c>
      <c r="H129">
        <v>408</v>
      </c>
      <c r="I129">
        <v>15</v>
      </c>
      <c r="J129">
        <v>29715</v>
      </c>
    </row>
    <row r="130" spans="1:10" x14ac:dyDescent="0.25">
      <c r="A130">
        <v>129</v>
      </c>
      <c r="B130">
        <v>44239</v>
      </c>
      <c r="C130" t="s">
        <v>10</v>
      </c>
      <c r="D130" t="s">
        <v>1</v>
      </c>
      <c r="E130">
        <v>42587</v>
      </c>
      <c r="F130">
        <v>11278.3</v>
      </c>
      <c r="G130">
        <v>1207</v>
      </c>
      <c r="H130">
        <v>34</v>
      </c>
      <c r="I130">
        <v>8</v>
      </c>
      <c r="J130">
        <v>39848</v>
      </c>
    </row>
    <row r="131" spans="1:10" x14ac:dyDescent="0.25">
      <c r="A131">
        <v>130</v>
      </c>
      <c r="B131">
        <v>44239</v>
      </c>
      <c r="C131" t="s">
        <v>11</v>
      </c>
      <c r="D131" t="s">
        <v>1</v>
      </c>
      <c r="E131">
        <v>480000</v>
      </c>
      <c r="F131">
        <v>44580.9</v>
      </c>
      <c r="G131">
        <v>4800</v>
      </c>
      <c r="H131">
        <v>33</v>
      </c>
      <c r="I131">
        <v>5</v>
      </c>
      <c r="J131">
        <v>6945</v>
      </c>
    </row>
    <row r="132" spans="1:10" x14ac:dyDescent="0.25">
      <c r="A132">
        <v>131</v>
      </c>
      <c r="B132">
        <v>44239</v>
      </c>
      <c r="C132" t="s">
        <v>12</v>
      </c>
      <c r="D132" t="s">
        <v>7</v>
      </c>
      <c r="E132">
        <v>1200300</v>
      </c>
      <c r="F132">
        <v>308572</v>
      </c>
      <c r="G132">
        <v>12003</v>
      </c>
      <c r="H132">
        <v>412</v>
      </c>
      <c r="I132">
        <v>79</v>
      </c>
      <c r="J132">
        <v>393499</v>
      </c>
    </row>
    <row r="133" spans="1:10" x14ac:dyDescent="0.25">
      <c r="A133">
        <v>132</v>
      </c>
      <c r="B133">
        <v>44239</v>
      </c>
      <c r="C133" t="s">
        <v>13</v>
      </c>
      <c r="D133" t="s">
        <v>14</v>
      </c>
      <c r="E133">
        <v>10819771</v>
      </c>
      <c r="F133">
        <v>145201</v>
      </c>
      <c r="G133">
        <v>16808</v>
      </c>
      <c r="H133">
        <v>336</v>
      </c>
      <c r="I133">
        <v>49</v>
      </c>
      <c r="J133">
        <v>195069</v>
      </c>
    </row>
    <row r="134" spans="1:10" x14ac:dyDescent="0.25">
      <c r="A134">
        <v>133</v>
      </c>
      <c r="B134">
        <v>44240</v>
      </c>
      <c r="C134" t="s">
        <v>0</v>
      </c>
      <c r="D134" t="s">
        <v>1</v>
      </c>
      <c r="E134">
        <v>1496322</v>
      </c>
      <c r="F134">
        <v>308692</v>
      </c>
      <c r="G134">
        <v>11990</v>
      </c>
      <c r="H134">
        <v>397</v>
      </c>
      <c r="I134">
        <v>60</v>
      </c>
      <c r="J134">
        <v>341880</v>
      </c>
    </row>
    <row r="135" spans="1:10" x14ac:dyDescent="0.25">
      <c r="A135">
        <v>134</v>
      </c>
      <c r="B135">
        <v>44240</v>
      </c>
      <c r="C135" t="s">
        <v>2</v>
      </c>
      <c r="D135" t="s">
        <v>1</v>
      </c>
      <c r="E135">
        <v>2358224</v>
      </c>
      <c r="F135">
        <v>325444</v>
      </c>
      <c r="G135">
        <v>16506</v>
      </c>
      <c r="H135">
        <v>655</v>
      </c>
      <c r="I135">
        <v>52</v>
      </c>
      <c r="J135">
        <v>262184</v>
      </c>
    </row>
    <row r="136" spans="1:10" x14ac:dyDescent="0.25">
      <c r="A136">
        <v>135</v>
      </c>
      <c r="B136">
        <v>44240</v>
      </c>
      <c r="C136" t="s">
        <v>3</v>
      </c>
      <c r="D136" t="s">
        <v>4</v>
      </c>
      <c r="E136">
        <v>225350</v>
      </c>
      <c r="F136">
        <v>61588.1</v>
      </c>
      <c r="G136">
        <v>4507</v>
      </c>
      <c r="H136">
        <v>100</v>
      </c>
      <c r="I136">
        <v>17</v>
      </c>
      <c r="J136">
        <v>152660</v>
      </c>
    </row>
    <row r="137" spans="1:10" x14ac:dyDescent="0.25">
      <c r="A137">
        <v>136</v>
      </c>
      <c r="B137">
        <v>44240</v>
      </c>
      <c r="C137" t="s">
        <v>5</v>
      </c>
      <c r="D137" t="s">
        <v>4</v>
      </c>
      <c r="E137">
        <v>3452027</v>
      </c>
      <c r="F137">
        <v>216562</v>
      </c>
      <c r="G137">
        <v>12010</v>
      </c>
      <c r="H137">
        <v>378</v>
      </c>
      <c r="I137">
        <v>56</v>
      </c>
      <c r="J137">
        <v>123088</v>
      </c>
    </row>
    <row r="138" spans="1:10" x14ac:dyDescent="0.25">
      <c r="A138">
        <v>137</v>
      </c>
      <c r="B138">
        <v>44240</v>
      </c>
      <c r="C138" t="s">
        <v>6</v>
      </c>
      <c r="D138" t="s">
        <v>7</v>
      </c>
      <c r="E138">
        <v>2250900</v>
      </c>
      <c r="F138">
        <v>205045</v>
      </c>
      <c r="G138">
        <v>22509</v>
      </c>
      <c r="H138">
        <v>790</v>
      </c>
      <c r="I138">
        <v>158</v>
      </c>
      <c r="J138">
        <v>1296550</v>
      </c>
    </row>
    <row r="139" spans="1:10" x14ac:dyDescent="0.25">
      <c r="A139">
        <v>138</v>
      </c>
      <c r="B139">
        <v>44240</v>
      </c>
      <c r="C139" t="s">
        <v>8</v>
      </c>
      <c r="D139" t="s">
        <v>1</v>
      </c>
      <c r="E139">
        <v>2698200</v>
      </c>
      <c r="F139">
        <v>88844.800000000003</v>
      </c>
      <c r="G139">
        <v>13491</v>
      </c>
      <c r="H139">
        <v>219</v>
      </c>
      <c r="I139">
        <v>26</v>
      </c>
      <c r="J139">
        <v>176384</v>
      </c>
    </row>
    <row r="140" spans="1:10" x14ac:dyDescent="0.25">
      <c r="A140">
        <v>139</v>
      </c>
      <c r="B140">
        <v>44240</v>
      </c>
      <c r="C140" t="s">
        <v>9</v>
      </c>
      <c r="D140" t="s">
        <v>1</v>
      </c>
      <c r="E140">
        <v>5100600</v>
      </c>
      <c r="F140">
        <v>16656.8</v>
      </c>
      <c r="G140">
        <v>25503</v>
      </c>
      <c r="H140">
        <v>510</v>
      </c>
      <c r="I140">
        <v>6</v>
      </c>
      <c r="J140">
        <v>10134</v>
      </c>
    </row>
    <row r="141" spans="1:10" x14ac:dyDescent="0.25">
      <c r="A141">
        <v>140</v>
      </c>
      <c r="B141">
        <v>44240</v>
      </c>
      <c r="C141" t="s">
        <v>10</v>
      </c>
      <c r="D141" t="s">
        <v>1</v>
      </c>
      <c r="E141">
        <v>50333</v>
      </c>
      <c r="F141">
        <v>8367.08</v>
      </c>
      <c r="G141">
        <v>1510</v>
      </c>
      <c r="H141">
        <v>19</v>
      </c>
      <c r="I141">
        <v>4</v>
      </c>
      <c r="J141">
        <v>18828</v>
      </c>
    </row>
    <row r="142" spans="1:10" x14ac:dyDescent="0.25">
      <c r="A142">
        <v>141</v>
      </c>
      <c r="B142">
        <v>44240</v>
      </c>
      <c r="C142" t="s">
        <v>11</v>
      </c>
      <c r="D142" t="s">
        <v>1</v>
      </c>
      <c r="E142">
        <v>495013</v>
      </c>
      <c r="F142">
        <v>171332</v>
      </c>
      <c r="G142">
        <v>6006</v>
      </c>
      <c r="H142">
        <v>128</v>
      </c>
      <c r="I142">
        <v>19</v>
      </c>
      <c r="J142">
        <v>24035</v>
      </c>
    </row>
    <row r="143" spans="1:10" x14ac:dyDescent="0.25">
      <c r="A143">
        <v>142</v>
      </c>
      <c r="B143">
        <v>44240</v>
      </c>
      <c r="C143" t="s">
        <v>12</v>
      </c>
      <c r="D143" t="s">
        <v>7</v>
      </c>
      <c r="E143">
        <v>1499200</v>
      </c>
      <c r="F143">
        <v>32770.1</v>
      </c>
      <c r="G143">
        <v>14992</v>
      </c>
      <c r="H143">
        <v>50</v>
      </c>
      <c r="I143">
        <v>8</v>
      </c>
      <c r="J143">
        <v>43976</v>
      </c>
    </row>
    <row r="144" spans="1:10" x14ac:dyDescent="0.25">
      <c r="A144">
        <v>143</v>
      </c>
      <c r="B144">
        <v>44240</v>
      </c>
      <c r="C144" t="s">
        <v>13</v>
      </c>
      <c r="D144" t="s">
        <v>14</v>
      </c>
      <c r="E144">
        <v>17890507</v>
      </c>
      <c r="F144">
        <v>390105</v>
      </c>
      <c r="G144">
        <v>20993</v>
      </c>
      <c r="H144">
        <v>734</v>
      </c>
      <c r="I144">
        <v>118</v>
      </c>
      <c r="J144">
        <v>353174</v>
      </c>
    </row>
    <row r="145" spans="1:10" x14ac:dyDescent="0.25">
      <c r="A145">
        <v>144</v>
      </c>
      <c r="B145">
        <v>44241</v>
      </c>
      <c r="C145" t="s">
        <v>0</v>
      </c>
      <c r="D145" t="s">
        <v>1</v>
      </c>
      <c r="E145">
        <v>2452315</v>
      </c>
      <c r="F145">
        <v>60244.9</v>
      </c>
      <c r="G145">
        <v>14406</v>
      </c>
      <c r="H145">
        <v>110</v>
      </c>
      <c r="I145">
        <v>14</v>
      </c>
      <c r="J145">
        <v>63560</v>
      </c>
    </row>
    <row r="146" spans="1:10" x14ac:dyDescent="0.25">
      <c r="A146">
        <v>145</v>
      </c>
      <c r="B146">
        <v>44241</v>
      </c>
      <c r="C146" t="s">
        <v>2</v>
      </c>
      <c r="D146" t="s">
        <v>1</v>
      </c>
      <c r="E146">
        <v>7936534</v>
      </c>
      <c r="F146">
        <v>197948</v>
      </c>
      <c r="G146">
        <v>19797</v>
      </c>
      <c r="H146">
        <v>396</v>
      </c>
      <c r="I146">
        <v>30</v>
      </c>
      <c r="J146">
        <v>149430</v>
      </c>
    </row>
    <row r="147" spans="1:10" x14ac:dyDescent="0.25">
      <c r="A147">
        <v>146</v>
      </c>
      <c r="B147">
        <v>44241</v>
      </c>
      <c r="C147" t="s">
        <v>3</v>
      </c>
      <c r="D147" t="s">
        <v>4</v>
      </c>
      <c r="E147">
        <v>263754</v>
      </c>
      <c r="F147">
        <v>56440.3</v>
      </c>
      <c r="G147">
        <v>5409</v>
      </c>
      <c r="H147">
        <v>90</v>
      </c>
      <c r="I147">
        <v>11</v>
      </c>
      <c r="J147">
        <v>84183</v>
      </c>
    </row>
    <row r="148" spans="1:10" x14ac:dyDescent="0.25">
      <c r="A148">
        <v>147</v>
      </c>
      <c r="B148">
        <v>44241</v>
      </c>
      <c r="C148" t="s">
        <v>5</v>
      </c>
      <c r="D148" t="s">
        <v>4</v>
      </c>
      <c r="E148">
        <v>3111389</v>
      </c>
      <c r="F148">
        <v>196998</v>
      </c>
      <c r="G148">
        <v>14390</v>
      </c>
      <c r="H148">
        <v>498</v>
      </c>
      <c r="I148">
        <v>48</v>
      </c>
      <c r="J148">
        <v>101280</v>
      </c>
    </row>
    <row r="149" spans="1:10" x14ac:dyDescent="0.25">
      <c r="A149">
        <v>148</v>
      </c>
      <c r="B149">
        <v>44241</v>
      </c>
      <c r="C149" t="s">
        <v>6</v>
      </c>
      <c r="D149" t="s">
        <v>7</v>
      </c>
      <c r="E149">
        <v>2511956</v>
      </c>
      <c r="F149">
        <v>231751</v>
      </c>
      <c r="G149">
        <v>26993</v>
      </c>
      <c r="H149">
        <v>540</v>
      </c>
      <c r="I149">
        <v>85</v>
      </c>
      <c r="J149">
        <v>733550</v>
      </c>
    </row>
    <row r="150" spans="1:10" x14ac:dyDescent="0.25">
      <c r="A150">
        <v>149</v>
      </c>
      <c r="B150">
        <v>44241</v>
      </c>
      <c r="C150" t="s">
        <v>8</v>
      </c>
      <c r="D150" t="s">
        <v>1</v>
      </c>
      <c r="E150">
        <v>3239400</v>
      </c>
      <c r="F150">
        <v>312844</v>
      </c>
      <c r="G150">
        <v>16197</v>
      </c>
      <c r="H150">
        <v>604</v>
      </c>
      <c r="I150">
        <v>72</v>
      </c>
      <c r="J150">
        <v>377352</v>
      </c>
    </row>
    <row r="151" spans="1:10" x14ac:dyDescent="0.25">
      <c r="A151">
        <v>150</v>
      </c>
      <c r="B151">
        <v>44241</v>
      </c>
      <c r="C151" t="s">
        <v>9</v>
      </c>
      <c r="D151" t="s">
        <v>1</v>
      </c>
      <c r="E151">
        <v>5130500</v>
      </c>
      <c r="F151">
        <v>218228</v>
      </c>
      <c r="G151">
        <v>30602</v>
      </c>
      <c r="H151">
        <v>935</v>
      </c>
      <c r="I151">
        <v>54</v>
      </c>
      <c r="J151">
        <v>119718</v>
      </c>
    </row>
    <row r="152" spans="1:10" x14ac:dyDescent="0.25">
      <c r="A152">
        <v>151</v>
      </c>
      <c r="B152">
        <v>44241</v>
      </c>
      <c r="C152" t="s">
        <v>10</v>
      </c>
      <c r="D152" t="s">
        <v>1</v>
      </c>
      <c r="E152">
        <v>55495</v>
      </c>
      <c r="F152">
        <v>4764.34</v>
      </c>
      <c r="G152">
        <v>1790</v>
      </c>
      <c r="H152">
        <v>10</v>
      </c>
      <c r="I152">
        <v>2</v>
      </c>
      <c r="J152">
        <v>10902</v>
      </c>
    </row>
    <row r="153" spans="1:10" x14ac:dyDescent="0.25">
      <c r="A153">
        <v>152</v>
      </c>
      <c r="B153">
        <v>44241</v>
      </c>
      <c r="C153" t="s">
        <v>11</v>
      </c>
      <c r="D153" t="s">
        <v>1</v>
      </c>
      <c r="E153">
        <v>605220</v>
      </c>
      <c r="F153">
        <v>170719</v>
      </c>
      <c r="G153">
        <v>7205</v>
      </c>
      <c r="H153">
        <v>142</v>
      </c>
      <c r="I153">
        <v>21</v>
      </c>
      <c r="J153">
        <v>14280</v>
      </c>
    </row>
    <row r="154" spans="1:10" x14ac:dyDescent="0.25">
      <c r="A154">
        <v>153</v>
      </c>
      <c r="B154">
        <v>44241</v>
      </c>
      <c r="C154" t="s">
        <v>12</v>
      </c>
      <c r="D154" t="s">
        <v>7</v>
      </c>
      <c r="E154">
        <v>2429465</v>
      </c>
      <c r="F154">
        <v>205870</v>
      </c>
      <c r="G154">
        <v>17998</v>
      </c>
      <c r="H154">
        <v>354</v>
      </c>
      <c r="I154">
        <v>53</v>
      </c>
      <c r="J154">
        <v>306817</v>
      </c>
    </row>
    <row r="155" spans="1:10" x14ac:dyDescent="0.25">
      <c r="A155">
        <v>154</v>
      </c>
      <c r="B155">
        <v>44241</v>
      </c>
      <c r="C155" t="s">
        <v>13</v>
      </c>
      <c r="D155" t="s">
        <v>14</v>
      </c>
      <c r="E155">
        <v>7218480</v>
      </c>
      <c r="F155">
        <v>225274</v>
      </c>
      <c r="G155">
        <v>25190</v>
      </c>
      <c r="H155">
        <v>504</v>
      </c>
      <c r="I155">
        <v>76</v>
      </c>
      <c r="J155">
        <v>236056</v>
      </c>
    </row>
    <row r="156" spans="1:10" x14ac:dyDescent="0.25">
      <c r="A156">
        <v>155</v>
      </c>
      <c r="B156">
        <v>44242</v>
      </c>
      <c r="C156" t="s">
        <v>0</v>
      </c>
      <c r="D156" t="s">
        <v>1</v>
      </c>
      <c r="E156">
        <v>3361800</v>
      </c>
      <c r="F156">
        <v>168064</v>
      </c>
      <c r="G156">
        <v>16809</v>
      </c>
      <c r="H156">
        <v>247</v>
      </c>
      <c r="I156">
        <v>30</v>
      </c>
      <c r="J156">
        <v>149430</v>
      </c>
    </row>
    <row r="157" spans="1:10" x14ac:dyDescent="0.25">
      <c r="A157">
        <v>156</v>
      </c>
      <c r="B157">
        <v>44242</v>
      </c>
      <c r="C157" t="s">
        <v>2</v>
      </c>
      <c r="D157" t="s">
        <v>1</v>
      </c>
      <c r="E157">
        <v>3441545</v>
      </c>
      <c r="F157">
        <v>593576</v>
      </c>
      <c r="G157">
        <v>23103</v>
      </c>
      <c r="H157">
        <v>694</v>
      </c>
      <c r="I157">
        <v>81</v>
      </c>
      <c r="J157">
        <v>403461</v>
      </c>
    </row>
    <row r="158" spans="1:10" x14ac:dyDescent="0.25">
      <c r="A158">
        <v>157</v>
      </c>
      <c r="B158">
        <v>44242</v>
      </c>
      <c r="C158" t="s">
        <v>3</v>
      </c>
      <c r="D158" t="s">
        <v>4</v>
      </c>
      <c r="E158">
        <v>315350</v>
      </c>
      <c r="F158">
        <v>82930.7</v>
      </c>
      <c r="G158">
        <v>6307</v>
      </c>
      <c r="H158">
        <v>126</v>
      </c>
      <c r="I158">
        <v>19</v>
      </c>
      <c r="J158">
        <v>138073</v>
      </c>
    </row>
    <row r="159" spans="1:10" x14ac:dyDescent="0.25">
      <c r="A159">
        <v>158</v>
      </c>
      <c r="B159">
        <v>44242</v>
      </c>
      <c r="C159" t="s">
        <v>5</v>
      </c>
      <c r="D159" t="s">
        <v>4</v>
      </c>
      <c r="E159">
        <v>3359600</v>
      </c>
      <c r="F159">
        <v>124854</v>
      </c>
      <c r="G159">
        <v>16798</v>
      </c>
      <c r="H159">
        <v>336</v>
      </c>
      <c r="I159">
        <v>31</v>
      </c>
      <c r="J159">
        <v>92411</v>
      </c>
    </row>
    <row r="160" spans="1:10" x14ac:dyDescent="0.25">
      <c r="A160">
        <v>159</v>
      </c>
      <c r="B160">
        <v>44242</v>
      </c>
      <c r="C160" t="s">
        <v>6</v>
      </c>
      <c r="D160" t="s">
        <v>7</v>
      </c>
      <c r="E160">
        <v>2478877</v>
      </c>
      <c r="F160">
        <v>151480</v>
      </c>
      <c r="G160">
        <v>31504</v>
      </c>
      <c r="H160">
        <v>630</v>
      </c>
      <c r="I160">
        <v>98</v>
      </c>
      <c r="J160">
        <v>782138</v>
      </c>
    </row>
    <row r="161" spans="1:10" x14ac:dyDescent="0.25">
      <c r="A161">
        <v>160</v>
      </c>
      <c r="B161">
        <v>44242</v>
      </c>
      <c r="C161" t="s">
        <v>8</v>
      </c>
      <c r="D161" t="s">
        <v>1</v>
      </c>
      <c r="E161">
        <v>3780200</v>
      </c>
      <c r="F161">
        <v>136269</v>
      </c>
      <c r="G161">
        <v>18901</v>
      </c>
      <c r="H161">
        <v>378</v>
      </c>
      <c r="I161">
        <v>45</v>
      </c>
      <c r="J161">
        <v>269145</v>
      </c>
    </row>
    <row r="162" spans="1:10" x14ac:dyDescent="0.25">
      <c r="A162">
        <v>161</v>
      </c>
      <c r="B162">
        <v>44242</v>
      </c>
      <c r="C162" t="s">
        <v>9</v>
      </c>
      <c r="D162" t="s">
        <v>1</v>
      </c>
      <c r="E162">
        <v>7138400</v>
      </c>
      <c r="F162">
        <v>37098.6</v>
      </c>
      <c r="G162">
        <v>35692</v>
      </c>
      <c r="H162">
        <v>916</v>
      </c>
      <c r="I162">
        <v>11</v>
      </c>
      <c r="J162">
        <v>21791</v>
      </c>
    </row>
    <row r="163" spans="1:10" x14ac:dyDescent="0.25">
      <c r="A163">
        <v>162</v>
      </c>
      <c r="B163">
        <v>44242</v>
      </c>
      <c r="C163" t="s">
        <v>10</v>
      </c>
      <c r="D163" t="s">
        <v>1</v>
      </c>
      <c r="E163">
        <v>63986</v>
      </c>
      <c r="F163">
        <v>14609.5</v>
      </c>
      <c r="G163">
        <v>2099</v>
      </c>
      <c r="H163">
        <v>28</v>
      </c>
      <c r="I163">
        <v>5</v>
      </c>
      <c r="J163">
        <v>24905</v>
      </c>
    </row>
    <row r="164" spans="1:10" x14ac:dyDescent="0.25">
      <c r="A164">
        <v>163</v>
      </c>
      <c r="B164">
        <v>44242</v>
      </c>
      <c r="C164" t="s">
        <v>11</v>
      </c>
      <c r="D164" t="s">
        <v>1</v>
      </c>
      <c r="E164">
        <v>1093435</v>
      </c>
      <c r="F164">
        <v>6587.76</v>
      </c>
      <c r="G164">
        <v>8402</v>
      </c>
      <c r="H164">
        <v>4</v>
      </c>
      <c r="I164">
        <v>1</v>
      </c>
      <c r="J164">
        <v>741</v>
      </c>
    </row>
    <row r="165" spans="1:10" x14ac:dyDescent="0.25">
      <c r="A165">
        <v>164</v>
      </c>
      <c r="B165">
        <v>44242</v>
      </c>
      <c r="C165" t="s">
        <v>12</v>
      </c>
      <c r="D165" t="s">
        <v>7</v>
      </c>
      <c r="E165">
        <v>2100700</v>
      </c>
      <c r="F165">
        <v>82452</v>
      </c>
      <c r="G165">
        <v>21007</v>
      </c>
      <c r="H165">
        <v>122</v>
      </c>
      <c r="I165">
        <v>24</v>
      </c>
      <c r="J165">
        <v>103392</v>
      </c>
    </row>
    <row r="166" spans="1:10" x14ac:dyDescent="0.25">
      <c r="A166">
        <v>165</v>
      </c>
      <c r="B166">
        <v>44242</v>
      </c>
      <c r="C166" t="s">
        <v>13</v>
      </c>
      <c r="D166" t="s">
        <v>14</v>
      </c>
      <c r="E166">
        <v>8747458</v>
      </c>
      <c r="F166">
        <v>543275</v>
      </c>
      <c r="G166">
        <v>29390</v>
      </c>
      <c r="H166">
        <v>1061</v>
      </c>
      <c r="I166">
        <v>171</v>
      </c>
      <c r="J166">
        <v>809685</v>
      </c>
    </row>
    <row r="167" spans="1:10" x14ac:dyDescent="0.25">
      <c r="A167">
        <v>166</v>
      </c>
      <c r="B167">
        <v>44243</v>
      </c>
      <c r="C167" t="s">
        <v>0</v>
      </c>
      <c r="D167" t="s">
        <v>1</v>
      </c>
      <c r="E167">
        <v>3839000</v>
      </c>
      <c r="F167">
        <v>393027</v>
      </c>
      <c r="G167">
        <v>19195</v>
      </c>
      <c r="H167">
        <v>384</v>
      </c>
      <c r="I167">
        <v>64</v>
      </c>
      <c r="J167">
        <v>336448</v>
      </c>
    </row>
    <row r="168" spans="1:10" x14ac:dyDescent="0.25">
      <c r="A168">
        <v>167</v>
      </c>
      <c r="B168">
        <v>44243</v>
      </c>
      <c r="C168" t="s">
        <v>2</v>
      </c>
      <c r="D168" t="s">
        <v>1</v>
      </c>
      <c r="E168">
        <v>5280000</v>
      </c>
      <c r="F168">
        <v>595176</v>
      </c>
      <c r="G168">
        <v>26400</v>
      </c>
      <c r="H168">
        <v>923</v>
      </c>
      <c r="I168">
        <v>80</v>
      </c>
      <c r="J168">
        <v>392160</v>
      </c>
    </row>
    <row r="169" spans="1:10" x14ac:dyDescent="0.25">
      <c r="A169">
        <v>168</v>
      </c>
      <c r="B169">
        <v>44243</v>
      </c>
      <c r="C169" t="s">
        <v>3</v>
      </c>
      <c r="D169" t="s">
        <v>4</v>
      </c>
      <c r="E169">
        <v>373184</v>
      </c>
      <c r="F169">
        <v>102053</v>
      </c>
      <c r="G169">
        <v>7198</v>
      </c>
      <c r="H169">
        <v>144</v>
      </c>
      <c r="I169">
        <v>22</v>
      </c>
      <c r="J169">
        <v>185482</v>
      </c>
    </row>
    <row r="170" spans="1:10" x14ac:dyDescent="0.25">
      <c r="A170">
        <v>169</v>
      </c>
      <c r="B170">
        <v>44243</v>
      </c>
      <c r="C170" t="s">
        <v>5</v>
      </c>
      <c r="D170" t="s">
        <v>4</v>
      </c>
      <c r="E170">
        <v>3841400</v>
      </c>
      <c r="F170">
        <v>271906</v>
      </c>
      <c r="G170">
        <v>19207</v>
      </c>
      <c r="H170">
        <v>666</v>
      </c>
      <c r="I170">
        <v>67</v>
      </c>
      <c r="J170">
        <v>199727</v>
      </c>
    </row>
    <row r="171" spans="1:10" x14ac:dyDescent="0.25">
      <c r="A171">
        <v>170</v>
      </c>
      <c r="B171">
        <v>44243</v>
      </c>
      <c r="C171" t="s">
        <v>6</v>
      </c>
      <c r="D171" t="s">
        <v>7</v>
      </c>
      <c r="E171">
        <v>4371118</v>
      </c>
      <c r="F171">
        <v>221258</v>
      </c>
      <c r="G171">
        <v>35999</v>
      </c>
      <c r="H171">
        <v>720</v>
      </c>
      <c r="I171">
        <v>128</v>
      </c>
      <c r="J171">
        <v>1021570</v>
      </c>
    </row>
    <row r="172" spans="1:10" x14ac:dyDescent="0.25">
      <c r="A172">
        <v>171</v>
      </c>
      <c r="B172">
        <v>44243</v>
      </c>
      <c r="C172" t="s">
        <v>8</v>
      </c>
      <c r="D172" t="s">
        <v>1</v>
      </c>
      <c r="E172">
        <v>4319200</v>
      </c>
      <c r="F172">
        <v>143680</v>
      </c>
      <c r="G172">
        <v>21596</v>
      </c>
      <c r="H172">
        <v>432</v>
      </c>
      <c r="I172">
        <v>34</v>
      </c>
      <c r="J172">
        <v>171972</v>
      </c>
    </row>
    <row r="173" spans="1:10" x14ac:dyDescent="0.25">
      <c r="A173">
        <v>172</v>
      </c>
      <c r="B173">
        <v>44243</v>
      </c>
      <c r="C173" t="s">
        <v>9</v>
      </c>
      <c r="D173" t="s">
        <v>1</v>
      </c>
      <c r="E173">
        <v>15988504</v>
      </c>
      <c r="F173">
        <v>103731</v>
      </c>
      <c r="G173">
        <v>40794</v>
      </c>
      <c r="H173">
        <v>816</v>
      </c>
      <c r="I173">
        <v>24</v>
      </c>
      <c r="J173">
        <v>41424</v>
      </c>
    </row>
    <row r="174" spans="1:10" x14ac:dyDescent="0.25">
      <c r="A174">
        <v>173</v>
      </c>
      <c r="B174">
        <v>44243</v>
      </c>
      <c r="C174" t="s">
        <v>10</v>
      </c>
      <c r="D174" t="s">
        <v>1</v>
      </c>
      <c r="E174">
        <v>80233</v>
      </c>
      <c r="F174">
        <v>31712</v>
      </c>
      <c r="G174">
        <v>2407</v>
      </c>
      <c r="H174">
        <v>48</v>
      </c>
      <c r="I174">
        <v>12</v>
      </c>
      <c r="J174">
        <v>59772</v>
      </c>
    </row>
    <row r="175" spans="1:10" x14ac:dyDescent="0.25">
      <c r="A175">
        <v>174</v>
      </c>
      <c r="B175">
        <v>44243</v>
      </c>
      <c r="C175" t="s">
        <v>11</v>
      </c>
      <c r="D175" t="s">
        <v>1</v>
      </c>
      <c r="E175">
        <v>1576818</v>
      </c>
      <c r="F175">
        <v>345629</v>
      </c>
      <c r="G175">
        <v>9597</v>
      </c>
      <c r="H175">
        <v>292</v>
      </c>
      <c r="I175">
        <v>39</v>
      </c>
      <c r="J175">
        <v>25857</v>
      </c>
    </row>
    <row r="176" spans="1:10" x14ac:dyDescent="0.25">
      <c r="A176">
        <v>175</v>
      </c>
      <c r="B176">
        <v>44243</v>
      </c>
      <c r="C176" t="s">
        <v>12</v>
      </c>
      <c r="D176" t="s">
        <v>7</v>
      </c>
      <c r="E176">
        <v>3937010</v>
      </c>
      <c r="F176">
        <v>620903</v>
      </c>
      <c r="G176">
        <v>23994</v>
      </c>
      <c r="H176">
        <v>833</v>
      </c>
      <c r="I176">
        <v>160</v>
      </c>
      <c r="J176">
        <v>939360</v>
      </c>
    </row>
    <row r="177" spans="1:10" x14ac:dyDescent="0.25">
      <c r="A177">
        <v>176</v>
      </c>
      <c r="B177">
        <v>44243</v>
      </c>
      <c r="C177" t="s">
        <v>13</v>
      </c>
      <c r="D177" t="s">
        <v>14</v>
      </c>
      <c r="E177">
        <v>56876855</v>
      </c>
      <c r="F177">
        <v>206424</v>
      </c>
      <c r="G177">
        <v>33592</v>
      </c>
      <c r="H177">
        <v>416</v>
      </c>
      <c r="I177">
        <v>62</v>
      </c>
      <c r="J177">
        <v>246822</v>
      </c>
    </row>
    <row r="178" spans="1:10" x14ac:dyDescent="0.25">
      <c r="A178">
        <v>177</v>
      </c>
      <c r="B178">
        <v>44244</v>
      </c>
      <c r="C178" t="s">
        <v>0</v>
      </c>
      <c r="D178" t="s">
        <v>1</v>
      </c>
      <c r="E178">
        <v>4320600</v>
      </c>
      <c r="F178">
        <v>489831</v>
      </c>
      <c r="G178">
        <v>21603</v>
      </c>
      <c r="H178">
        <v>652</v>
      </c>
      <c r="I178">
        <v>86</v>
      </c>
      <c r="J178">
        <v>428366</v>
      </c>
    </row>
    <row r="179" spans="1:10" x14ac:dyDescent="0.25">
      <c r="A179">
        <v>178</v>
      </c>
      <c r="B179">
        <v>44244</v>
      </c>
      <c r="C179" t="s">
        <v>2</v>
      </c>
      <c r="D179" t="s">
        <v>1</v>
      </c>
      <c r="E179">
        <v>6102420</v>
      </c>
      <c r="F179">
        <v>403691</v>
      </c>
      <c r="G179">
        <v>29704</v>
      </c>
      <c r="H179">
        <v>594</v>
      </c>
      <c r="I179">
        <v>61</v>
      </c>
      <c r="J179">
        <v>303841</v>
      </c>
    </row>
    <row r="180" spans="1:10" x14ac:dyDescent="0.25">
      <c r="A180">
        <v>179</v>
      </c>
      <c r="B180">
        <v>44244</v>
      </c>
      <c r="C180" t="s">
        <v>3</v>
      </c>
      <c r="D180" t="s">
        <v>4</v>
      </c>
      <c r="E180">
        <v>490058</v>
      </c>
      <c r="F180">
        <v>116213</v>
      </c>
      <c r="G180">
        <v>8104</v>
      </c>
      <c r="H180">
        <v>162</v>
      </c>
      <c r="I180">
        <v>31</v>
      </c>
      <c r="J180">
        <v>227726</v>
      </c>
    </row>
    <row r="181" spans="1:10" x14ac:dyDescent="0.25">
      <c r="A181">
        <v>180</v>
      </c>
      <c r="B181">
        <v>44244</v>
      </c>
      <c r="C181" t="s">
        <v>5</v>
      </c>
      <c r="D181" t="s">
        <v>4</v>
      </c>
      <c r="E181">
        <v>4319200</v>
      </c>
      <c r="F181">
        <v>180223</v>
      </c>
      <c r="G181">
        <v>21596</v>
      </c>
      <c r="H181">
        <v>442</v>
      </c>
      <c r="I181">
        <v>44</v>
      </c>
      <c r="J181">
        <v>136708</v>
      </c>
    </row>
    <row r="182" spans="1:10" x14ac:dyDescent="0.25">
      <c r="A182">
        <v>181</v>
      </c>
      <c r="B182">
        <v>44244</v>
      </c>
      <c r="C182" t="s">
        <v>6</v>
      </c>
      <c r="D182" t="s">
        <v>7</v>
      </c>
      <c r="E182">
        <v>4049400</v>
      </c>
      <c r="F182">
        <v>363811</v>
      </c>
      <c r="G182">
        <v>40494</v>
      </c>
      <c r="H182">
        <v>746</v>
      </c>
      <c r="I182">
        <v>149</v>
      </c>
      <c r="J182">
        <v>1189170</v>
      </c>
    </row>
    <row r="183" spans="1:10" x14ac:dyDescent="0.25">
      <c r="A183">
        <v>182</v>
      </c>
      <c r="B183">
        <v>44244</v>
      </c>
      <c r="C183" t="s">
        <v>8</v>
      </c>
      <c r="D183" t="s">
        <v>1</v>
      </c>
      <c r="E183">
        <v>4999407</v>
      </c>
      <c r="F183">
        <v>246023</v>
      </c>
      <c r="G183">
        <v>24294</v>
      </c>
      <c r="H183">
        <v>606</v>
      </c>
      <c r="I183">
        <v>73</v>
      </c>
      <c r="J183">
        <v>496546</v>
      </c>
    </row>
    <row r="184" spans="1:10" x14ac:dyDescent="0.25">
      <c r="A184">
        <v>183</v>
      </c>
      <c r="B184">
        <v>44244</v>
      </c>
      <c r="C184" t="s">
        <v>9</v>
      </c>
      <c r="D184" t="s">
        <v>1</v>
      </c>
      <c r="E184">
        <v>32964848</v>
      </c>
      <c r="F184">
        <v>162819</v>
      </c>
      <c r="G184">
        <v>45907</v>
      </c>
      <c r="H184">
        <v>974</v>
      </c>
      <c r="I184">
        <v>46</v>
      </c>
      <c r="J184">
        <v>121900</v>
      </c>
    </row>
    <row r="185" spans="1:10" x14ac:dyDescent="0.25">
      <c r="A185">
        <v>184</v>
      </c>
      <c r="B185">
        <v>44244</v>
      </c>
      <c r="C185" t="s">
        <v>10</v>
      </c>
      <c r="D185" t="s">
        <v>1</v>
      </c>
      <c r="E185">
        <v>84332</v>
      </c>
      <c r="F185">
        <v>31422.5</v>
      </c>
      <c r="G185">
        <v>2698</v>
      </c>
      <c r="H185">
        <v>54</v>
      </c>
      <c r="I185">
        <v>11</v>
      </c>
      <c r="J185">
        <v>45441</v>
      </c>
    </row>
    <row r="186" spans="1:10" x14ac:dyDescent="0.25">
      <c r="A186">
        <v>185</v>
      </c>
      <c r="B186">
        <v>44244</v>
      </c>
      <c r="C186" t="s">
        <v>11</v>
      </c>
      <c r="D186" t="s">
        <v>1</v>
      </c>
      <c r="E186">
        <v>1361187</v>
      </c>
      <c r="F186">
        <v>291254</v>
      </c>
      <c r="G186">
        <v>10810</v>
      </c>
      <c r="H186">
        <v>216</v>
      </c>
      <c r="I186">
        <v>32</v>
      </c>
      <c r="J186">
        <v>31392</v>
      </c>
    </row>
    <row r="187" spans="1:10" x14ac:dyDescent="0.25">
      <c r="A187">
        <v>186</v>
      </c>
      <c r="B187">
        <v>44244</v>
      </c>
      <c r="C187" t="s">
        <v>12</v>
      </c>
      <c r="D187" t="s">
        <v>7</v>
      </c>
      <c r="E187">
        <v>2795511</v>
      </c>
      <c r="F187">
        <v>462606</v>
      </c>
      <c r="G187">
        <v>26990</v>
      </c>
      <c r="H187">
        <v>795</v>
      </c>
      <c r="I187">
        <v>119</v>
      </c>
      <c r="J187">
        <v>592739</v>
      </c>
    </row>
    <row r="188" spans="1:10" x14ac:dyDescent="0.25">
      <c r="A188">
        <v>187</v>
      </c>
      <c r="B188">
        <v>44244</v>
      </c>
      <c r="C188" t="s">
        <v>13</v>
      </c>
      <c r="D188" t="s">
        <v>14</v>
      </c>
      <c r="E188">
        <v>16553044</v>
      </c>
      <c r="F188">
        <v>523398</v>
      </c>
      <c r="G188">
        <v>37805</v>
      </c>
      <c r="H188">
        <v>756</v>
      </c>
      <c r="I188">
        <v>142</v>
      </c>
      <c r="J188">
        <v>565302</v>
      </c>
    </row>
    <row r="189" spans="1:10" x14ac:dyDescent="0.25">
      <c r="A189">
        <v>188</v>
      </c>
      <c r="B189">
        <v>44245</v>
      </c>
      <c r="C189" t="s">
        <v>0</v>
      </c>
      <c r="D189" t="s">
        <v>1</v>
      </c>
      <c r="E189">
        <v>4798200</v>
      </c>
      <c r="F189">
        <v>30892.2</v>
      </c>
      <c r="G189">
        <v>23991</v>
      </c>
      <c r="H189">
        <v>61</v>
      </c>
      <c r="I189">
        <v>6</v>
      </c>
      <c r="J189">
        <v>25686</v>
      </c>
    </row>
    <row r="190" spans="1:10" x14ac:dyDescent="0.25">
      <c r="A190">
        <v>189</v>
      </c>
      <c r="B190">
        <v>44245</v>
      </c>
      <c r="C190" t="s">
        <v>2</v>
      </c>
      <c r="D190" t="s">
        <v>1</v>
      </c>
      <c r="E190">
        <v>4678356</v>
      </c>
      <c r="F190">
        <v>373294</v>
      </c>
      <c r="G190">
        <v>33003</v>
      </c>
      <c r="H190">
        <v>1313</v>
      </c>
      <c r="I190">
        <v>51</v>
      </c>
      <c r="J190">
        <v>237711</v>
      </c>
    </row>
    <row r="191" spans="1:10" x14ac:dyDescent="0.25">
      <c r="A191">
        <v>190</v>
      </c>
      <c r="B191">
        <v>44245</v>
      </c>
      <c r="C191" t="s">
        <v>3</v>
      </c>
      <c r="D191" t="s">
        <v>4</v>
      </c>
      <c r="E191">
        <v>527210</v>
      </c>
      <c r="F191">
        <v>119542</v>
      </c>
      <c r="G191">
        <v>9004</v>
      </c>
      <c r="H191">
        <v>162</v>
      </c>
      <c r="I191">
        <v>28</v>
      </c>
      <c r="J191">
        <v>214368</v>
      </c>
    </row>
    <row r="192" spans="1:10" x14ac:dyDescent="0.25">
      <c r="A192">
        <v>191</v>
      </c>
      <c r="B192">
        <v>44245</v>
      </c>
      <c r="C192" t="s">
        <v>5</v>
      </c>
      <c r="D192" t="s">
        <v>4</v>
      </c>
      <c r="E192">
        <v>10593685</v>
      </c>
      <c r="F192">
        <v>200986</v>
      </c>
      <c r="G192">
        <v>24005</v>
      </c>
      <c r="H192">
        <v>480</v>
      </c>
      <c r="I192">
        <v>43</v>
      </c>
      <c r="J192">
        <v>93353</v>
      </c>
    </row>
    <row r="193" spans="1:10" x14ac:dyDescent="0.25">
      <c r="A193">
        <v>192</v>
      </c>
      <c r="B193">
        <v>44245</v>
      </c>
      <c r="C193" t="s">
        <v>6</v>
      </c>
      <c r="D193" t="s">
        <v>7</v>
      </c>
      <c r="E193">
        <v>4064081</v>
      </c>
      <c r="F193">
        <v>86522.9</v>
      </c>
      <c r="G193">
        <v>45004</v>
      </c>
      <c r="H193">
        <v>144</v>
      </c>
      <c r="I193">
        <v>31</v>
      </c>
      <c r="J193">
        <v>256897</v>
      </c>
    </row>
    <row r="194" spans="1:10" x14ac:dyDescent="0.25">
      <c r="A194">
        <v>193</v>
      </c>
      <c r="B194">
        <v>44245</v>
      </c>
      <c r="C194" t="s">
        <v>8</v>
      </c>
      <c r="D194" t="s">
        <v>1</v>
      </c>
      <c r="E194">
        <v>11212959</v>
      </c>
      <c r="F194">
        <v>241388</v>
      </c>
      <c r="G194">
        <v>27009</v>
      </c>
      <c r="H194">
        <v>599</v>
      </c>
      <c r="I194">
        <v>72</v>
      </c>
      <c r="J194">
        <v>430632</v>
      </c>
    </row>
    <row r="195" spans="1:10" x14ac:dyDescent="0.25">
      <c r="A195">
        <v>194</v>
      </c>
      <c r="B195">
        <v>44245</v>
      </c>
      <c r="C195" t="s">
        <v>9</v>
      </c>
      <c r="D195" t="s">
        <v>1</v>
      </c>
      <c r="E195">
        <v>13281923</v>
      </c>
      <c r="F195">
        <v>58596.4</v>
      </c>
      <c r="G195">
        <v>51000</v>
      </c>
      <c r="H195">
        <v>1020</v>
      </c>
      <c r="I195">
        <v>16</v>
      </c>
      <c r="J195">
        <v>36016</v>
      </c>
    </row>
    <row r="196" spans="1:10" x14ac:dyDescent="0.25">
      <c r="A196">
        <v>195</v>
      </c>
      <c r="B196">
        <v>44245</v>
      </c>
      <c r="C196" t="s">
        <v>10</v>
      </c>
      <c r="D196" t="s">
        <v>1</v>
      </c>
      <c r="E196">
        <v>97885</v>
      </c>
      <c r="F196">
        <v>17176.7</v>
      </c>
      <c r="G196">
        <v>2991</v>
      </c>
      <c r="H196">
        <v>28</v>
      </c>
      <c r="I196">
        <v>6</v>
      </c>
      <c r="J196">
        <v>33930</v>
      </c>
    </row>
    <row r="197" spans="1:10" x14ac:dyDescent="0.25">
      <c r="A197">
        <v>196</v>
      </c>
      <c r="B197">
        <v>44245</v>
      </c>
      <c r="C197" t="s">
        <v>11</v>
      </c>
      <c r="D197" t="s">
        <v>1</v>
      </c>
      <c r="E197">
        <v>1181224</v>
      </c>
      <c r="F197">
        <v>171831</v>
      </c>
      <c r="G197">
        <v>11991</v>
      </c>
      <c r="H197">
        <v>128</v>
      </c>
      <c r="I197">
        <v>19</v>
      </c>
      <c r="J197">
        <v>17917</v>
      </c>
    </row>
    <row r="198" spans="1:10" x14ac:dyDescent="0.25">
      <c r="A198">
        <v>197</v>
      </c>
      <c r="B198">
        <v>44245</v>
      </c>
      <c r="C198" t="s">
        <v>12</v>
      </c>
      <c r="D198" t="s">
        <v>7</v>
      </c>
      <c r="E198">
        <v>2482796</v>
      </c>
      <c r="F198">
        <v>518530</v>
      </c>
      <c r="G198">
        <v>30000</v>
      </c>
      <c r="H198">
        <v>1032</v>
      </c>
      <c r="I198">
        <v>134</v>
      </c>
      <c r="J198">
        <v>796630</v>
      </c>
    </row>
    <row r="199" spans="1:10" x14ac:dyDescent="0.25">
      <c r="A199">
        <v>198</v>
      </c>
      <c r="B199">
        <v>44245</v>
      </c>
      <c r="C199" t="s">
        <v>13</v>
      </c>
      <c r="D199" t="s">
        <v>14</v>
      </c>
      <c r="E199">
        <v>419970000</v>
      </c>
      <c r="F199">
        <v>339735</v>
      </c>
      <c r="G199">
        <v>41997</v>
      </c>
      <c r="H199">
        <v>840</v>
      </c>
      <c r="I199">
        <v>114</v>
      </c>
      <c r="J199">
        <v>516420</v>
      </c>
    </row>
    <row r="200" spans="1:10" x14ac:dyDescent="0.25">
      <c r="A200">
        <v>199</v>
      </c>
      <c r="B200">
        <v>44246</v>
      </c>
      <c r="C200" t="s">
        <v>0</v>
      </c>
      <c r="D200" t="s">
        <v>1</v>
      </c>
      <c r="E200">
        <v>15345139</v>
      </c>
      <c r="F200">
        <v>53253.9</v>
      </c>
      <c r="G200">
        <v>26407</v>
      </c>
      <c r="H200">
        <v>71</v>
      </c>
      <c r="I200">
        <v>10</v>
      </c>
      <c r="J200">
        <v>44550</v>
      </c>
    </row>
    <row r="201" spans="1:10" x14ac:dyDescent="0.25">
      <c r="A201">
        <v>200</v>
      </c>
      <c r="B201">
        <v>44246</v>
      </c>
      <c r="C201" t="s">
        <v>2</v>
      </c>
      <c r="D201" t="s">
        <v>1</v>
      </c>
      <c r="E201">
        <v>7260800</v>
      </c>
      <c r="F201">
        <v>415376</v>
      </c>
      <c r="G201">
        <v>36304</v>
      </c>
      <c r="H201">
        <v>726</v>
      </c>
      <c r="I201">
        <v>58</v>
      </c>
      <c r="J201">
        <v>288898</v>
      </c>
    </row>
    <row r="202" spans="1:10" x14ac:dyDescent="0.25">
      <c r="A202">
        <v>201</v>
      </c>
      <c r="B202">
        <v>44246</v>
      </c>
      <c r="C202" t="s">
        <v>3</v>
      </c>
      <c r="D202" t="s">
        <v>4</v>
      </c>
      <c r="E202">
        <v>413291</v>
      </c>
      <c r="F202">
        <v>9777.5499999999993</v>
      </c>
      <c r="G202">
        <v>9904</v>
      </c>
      <c r="H202">
        <v>14</v>
      </c>
      <c r="I202">
        <v>2</v>
      </c>
      <c r="J202">
        <v>15962</v>
      </c>
    </row>
    <row r="203" spans="1:10" x14ac:dyDescent="0.25">
      <c r="A203">
        <v>202</v>
      </c>
      <c r="B203">
        <v>44246</v>
      </c>
      <c r="C203" t="s">
        <v>5</v>
      </c>
      <c r="D203" t="s">
        <v>4</v>
      </c>
      <c r="E203">
        <v>8455475</v>
      </c>
      <c r="F203">
        <v>81623.5</v>
      </c>
      <c r="G203">
        <v>26406</v>
      </c>
      <c r="H203">
        <v>281</v>
      </c>
      <c r="I203">
        <v>20</v>
      </c>
      <c r="J203">
        <v>72300</v>
      </c>
    </row>
    <row r="204" spans="1:10" x14ac:dyDescent="0.25">
      <c r="A204">
        <v>203</v>
      </c>
      <c r="B204">
        <v>44246</v>
      </c>
      <c r="C204" t="s">
        <v>6</v>
      </c>
      <c r="D204" t="s">
        <v>7</v>
      </c>
      <c r="E204">
        <v>3801165</v>
      </c>
      <c r="F204">
        <v>880357</v>
      </c>
      <c r="G204">
        <v>49510</v>
      </c>
      <c r="H204">
        <v>1666</v>
      </c>
      <c r="I204">
        <v>369</v>
      </c>
      <c r="J204">
        <v>2812520</v>
      </c>
    </row>
    <row r="205" spans="1:10" x14ac:dyDescent="0.25">
      <c r="A205">
        <v>204</v>
      </c>
      <c r="B205">
        <v>44246</v>
      </c>
      <c r="C205" t="s">
        <v>8</v>
      </c>
      <c r="D205" t="s">
        <v>1</v>
      </c>
      <c r="E205">
        <v>6168252</v>
      </c>
      <c r="F205">
        <v>300775</v>
      </c>
      <c r="G205">
        <v>29699</v>
      </c>
      <c r="H205">
        <v>1082</v>
      </c>
      <c r="I205">
        <v>96</v>
      </c>
      <c r="J205">
        <v>574176</v>
      </c>
    </row>
    <row r="206" spans="1:10" x14ac:dyDescent="0.25">
      <c r="A206">
        <v>205</v>
      </c>
      <c r="B206">
        <v>44246</v>
      </c>
      <c r="C206" t="s">
        <v>9</v>
      </c>
      <c r="D206" t="s">
        <v>1</v>
      </c>
      <c r="E206">
        <v>11222000</v>
      </c>
      <c r="F206">
        <v>9908.98</v>
      </c>
      <c r="G206">
        <v>56110</v>
      </c>
      <c r="H206">
        <v>185</v>
      </c>
      <c r="I206">
        <v>3</v>
      </c>
      <c r="J206">
        <v>3621</v>
      </c>
    </row>
    <row r="207" spans="1:10" x14ac:dyDescent="0.25">
      <c r="A207">
        <v>206</v>
      </c>
      <c r="B207">
        <v>44246</v>
      </c>
      <c r="C207" t="s">
        <v>10</v>
      </c>
      <c r="D207" t="s">
        <v>1</v>
      </c>
      <c r="E207">
        <v>115166</v>
      </c>
      <c r="F207">
        <v>3173.41</v>
      </c>
      <c r="G207">
        <v>3297</v>
      </c>
      <c r="H207">
        <v>7</v>
      </c>
      <c r="I207">
        <v>1</v>
      </c>
      <c r="J207">
        <v>5199</v>
      </c>
    </row>
    <row r="208" spans="1:10" x14ac:dyDescent="0.25">
      <c r="A208">
        <v>207</v>
      </c>
      <c r="B208">
        <v>44246</v>
      </c>
      <c r="C208" t="s">
        <v>11</v>
      </c>
      <c r="D208" t="s">
        <v>1</v>
      </c>
      <c r="E208">
        <v>1320200</v>
      </c>
      <c r="F208">
        <v>440355</v>
      </c>
      <c r="G208">
        <v>13202</v>
      </c>
      <c r="H208">
        <v>264</v>
      </c>
      <c r="I208">
        <v>45</v>
      </c>
      <c r="J208">
        <v>80325</v>
      </c>
    </row>
    <row r="209" spans="1:10" x14ac:dyDescent="0.25">
      <c r="A209">
        <v>208</v>
      </c>
      <c r="B209">
        <v>44246</v>
      </c>
      <c r="C209" t="s">
        <v>12</v>
      </c>
      <c r="D209" t="s">
        <v>7</v>
      </c>
      <c r="E209">
        <v>3299900</v>
      </c>
      <c r="F209">
        <v>404285</v>
      </c>
      <c r="G209">
        <v>32999</v>
      </c>
      <c r="H209">
        <v>694</v>
      </c>
      <c r="I209">
        <v>104</v>
      </c>
      <c r="J209">
        <v>519272</v>
      </c>
    </row>
    <row r="210" spans="1:10" x14ac:dyDescent="0.25">
      <c r="A210">
        <v>209</v>
      </c>
      <c r="B210">
        <v>44246</v>
      </c>
      <c r="C210" t="s">
        <v>13</v>
      </c>
      <c r="D210" t="s">
        <v>14</v>
      </c>
      <c r="E210">
        <v>19065489</v>
      </c>
      <c r="F210">
        <v>492126</v>
      </c>
      <c r="G210">
        <v>46209</v>
      </c>
      <c r="H210">
        <v>924</v>
      </c>
      <c r="I210">
        <v>139</v>
      </c>
      <c r="J210">
        <v>556417</v>
      </c>
    </row>
    <row r="211" spans="1:10" x14ac:dyDescent="0.25">
      <c r="A211">
        <v>210</v>
      </c>
      <c r="B211">
        <v>44247</v>
      </c>
      <c r="C211" t="s">
        <v>0</v>
      </c>
      <c r="D211" t="s">
        <v>1</v>
      </c>
      <c r="E211">
        <v>9916906</v>
      </c>
      <c r="F211">
        <v>56874.2</v>
      </c>
      <c r="G211">
        <v>28796</v>
      </c>
      <c r="H211">
        <v>88</v>
      </c>
      <c r="I211">
        <v>12</v>
      </c>
      <c r="J211">
        <v>59772</v>
      </c>
    </row>
    <row r="212" spans="1:10" x14ac:dyDescent="0.25">
      <c r="A212">
        <v>211</v>
      </c>
      <c r="B212">
        <v>44247</v>
      </c>
      <c r="C212" t="s">
        <v>2</v>
      </c>
      <c r="D212" t="s">
        <v>1</v>
      </c>
      <c r="E212">
        <v>7918600</v>
      </c>
      <c r="F212">
        <v>455831</v>
      </c>
      <c r="G212">
        <v>39593</v>
      </c>
      <c r="H212">
        <v>853</v>
      </c>
      <c r="I212">
        <v>68</v>
      </c>
      <c r="J212">
        <v>387124</v>
      </c>
    </row>
    <row r="213" spans="1:10" x14ac:dyDescent="0.25">
      <c r="A213">
        <v>212</v>
      </c>
      <c r="B213">
        <v>44247</v>
      </c>
      <c r="C213" t="s">
        <v>3</v>
      </c>
      <c r="D213" t="s">
        <v>4</v>
      </c>
      <c r="E213">
        <v>540450</v>
      </c>
      <c r="F213">
        <v>190469</v>
      </c>
      <c r="G213">
        <v>10809</v>
      </c>
      <c r="H213">
        <v>359</v>
      </c>
      <c r="I213">
        <v>47</v>
      </c>
      <c r="J213">
        <v>365378</v>
      </c>
    </row>
    <row r="214" spans="1:10" x14ac:dyDescent="0.25">
      <c r="A214">
        <v>213</v>
      </c>
      <c r="B214">
        <v>44247</v>
      </c>
      <c r="C214" t="s">
        <v>5</v>
      </c>
      <c r="D214" t="s">
        <v>4</v>
      </c>
      <c r="E214">
        <v>5762000</v>
      </c>
      <c r="F214">
        <v>435770</v>
      </c>
      <c r="G214">
        <v>28810</v>
      </c>
      <c r="H214">
        <v>732</v>
      </c>
      <c r="I214">
        <v>96</v>
      </c>
      <c r="J214">
        <v>253440</v>
      </c>
    </row>
    <row r="215" spans="1:10" x14ac:dyDescent="0.25">
      <c r="A215">
        <v>214</v>
      </c>
      <c r="B215">
        <v>44247</v>
      </c>
      <c r="C215" t="s">
        <v>6</v>
      </c>
      <c r="D215" t="s">
        <v>7</v>
      </c>
      <c r="E215">
        <v>5399300</v>
      </c>
      <c r="F215">
        <v>303860</v>
      </c>
      <c r="G215">
        <v>53993</v>
      </c>
      <c r="H215">
        <v>1094</v>
      </c>
      <c r="I215">
        <v>182</v>
      </c>
      <c r="J215">
        <v>1452540</v>
      </c>
    </row>
    <row r="216" spans="1:10" x14ac:dyDescent="0.25">
      <c r="A216">
        <v>215</v>
      </c>
      <c r="B216">
        <v>44247</v>
      </c>
      <c r="C216" t="s">
        <v>8</v>
      </c>
      <c r="D216" t="s">
        <v>1</v>
      </c>
      <c r="E216">
        <v>7669421</v>
      </c>
      <c r="F216">
        <v>404737</v>
      </c>
      <c r="G216">
        <v>32395</v>
      </c>
      <c r="H216">
        <v>1003</v>
      </c>
      <c r="I216">
        <v>139</v>
      </c>
      <c r="J216">
        <v>847066</v>
      </c>
    </row>
    <row r="217" spans="1:10" x14ac:dyDescent="0.25">
      <c r="A217">
        <v>216</v>
      </c>
      <c r="B217">
        <v>44247</v>
      </c>
      <c r="C217" t="s">
        <v>9</v>
      </c>
      <c r="D217" t="s">
        <v>1</v>
      </c>
      <c r="E217">
        <v>12239000</v>
      </c>
      <c r="F217">
        <v>150065</v>
      </c>
      <c r="G217">
        <v>61195</v>
      </c>
      <c r="H217">
        <v>1224</v>
      </c>
      <c r="I217">
        <v>48</v>
      </c>
      <c r="J217">
        <v>73392</v>
      </c>
    </row>
    <row r="218" spans="1:10" x14ac:dyDescent="0.25">
      <c r="A218">
        <v>217</v>
      </c>
      <c r="B218">
        <v>44247</v>
      </c>
      <c r="C218" t="s">
        <v>10</v>
      </c>
      <c r="D218" t="s">
        <v>1</v>
      </c>
      <c r="E218">
        <v>111784</v>
      </c>
      <c r="F218">
        <v>73587.5</v>
      </c>
      <c r="G218">
        <v>3594</v>
      </c>
      <c r="H218">
        <v>116</v>
      </c>
      <c r="I218">
        <v>24</v>
      </c>
      <c r="J218">
        <v>119544</v>
      </c>
    </row>
    <row r="219" spans="1:10" x14ac:dyDescent="0.25">
      <c r="A219">
        <v>218</v>
      </c>
      <c r="B219">
        <v>44247</v>
      </c>
      <c r="C219" t="s">
        <v>11</v>
      </c>
      <c r="D219" t="s">
        <v>1</v>
      </c>
      <c r="E219">
        <v>1118531</v>
      </c>
      <c r="F219">
        <v>173041</v>
      </c>
      <c r="G219">
        <v>14399</v>
      </c>
      <c r="H219">
        <v>113</v>
      </c>
      <c r="I219">
        <v>18</v>
      </c>
      <c r="J219">
        <v>17658</v>
      </c>
    </row>
    <row r="220" spans="1:10" x14ac:dyDescent="0.25">
      <c r="A220">
        <v>219</v>
      </c>
      <c r="B220">
        <v>44247</v>
      </c>
      <c r="C220" t="s">
        <v>12</v>
      </c>
      <c r="D220" t="s">
        <v>7</v>
      </c>
      <c r="E220">
        <v>5497354</v>
      </c>
      <c r="F220">
        <v>504576</v>
      </c>
      <c r="G220">
        <v>35994</v>
      </c>
      <c r="H220">
        <v>822</v>
      </c>
      <c r="I220">
        <v>137</v>
      </c>
      <c r="J220">
        <v>682397</v>
      </c>
    </row>
    <row r="221" spans="1:10" x14ac:dyDescent="0.25">
      <c r="A221">
        <v>220</v>
      </c>
      <c r="B221">
        <v>44247</v>
      </c>
      <c r="C221" t="s">
        <v>13</v>
      </c>
      <c r="D221" t="s">
        <v>14</v>
      </c>
      <c r="E221">
        <v>26012342</v>
      </c>
      <c r="F221">
        <v>750361</v>
      </c>
      <c r="G221">
        <v>50408</v>
      </c>
      <c r="H221">
        <v>1678</v>
      </c>
      <c r="I221">
        <v>252</v>
      </c>
      <c r="J221">
        <v>1003210</v>
      </c>
    </row>
    <row r="222" spans="1:10" x14ac:dyDescent="0.25">
      <c r="A222">
        <v>221</v>
      </c>
      <c r="B222">
        <v>44248</v>
      </c>
      <c r="C222" t="s">
        <v>0</v>
      </c>
      <c r="D222" t="s">
        <v>1</v>
      </c>
      <c r="E222">
        <v>478600</v>
      </c>
      <c r="F222">
        <v>38596.699999999997</v>
      </c>
      <c r="G222">
        <v>2393</v>
      </c>
      <c r="H222">
        <v>66</v>
      </c>
      <c r="I222">
        <v>7</v>
      </c>
      <c r="J222">
        <v>31094</v>
      </c>
    </row>
    <row r="223" spans="1:10" x14ac:dyDescent="0.25">
      <c r="A223">
        <v>222</v>
      </c>
      <c r="B223">
        <v>44248</v>
      </c>
      <c r="C223" t="s">
        <v>2</v>
      </c>
      <c r="D223" t="s">
        <v>1</v>
      </c>
      <c r="E223">
        <v>543787</v>
      </c>
      <c r="F223">
        <v>39481</v>
      </c>
      <c r="G223">
        <v>3299</v>
      </c>
      <c r="H223">
        <v>113</v>
      </c>
      <c r="I223">
        <v>6</v>
      </c>
      <c r="J223">
        <v>29538</v>
      </c>
    </row>
    <row r="224" spans="1:10" x14ac:dyDescent="0.25">
      <c r="A224">
        <v>223</v>
      </c>
      <c r="B224">
        <v>44248</v>
      </c>
      <c r="C224" t="s">
        <v>3</v>
      </c>
      <c r="D224" t="s">
        <v>4</v>
      </c>
      <c r="E224">
        <v>49655</v>
      </c>
      <c r="F224">
        <v>9444.1200000000008</v>
      </c>
      <c r="G224">
        <v>907</v>
      </c>
      <c r="H224">
        <v>18</v>
      </c>
      <c r="I224">
        <v>2</v>
      </c>
      <c r="J224">
        <v>15962</v>
      </c>
    </row>
    <row r="225" spans="1:10" x14ac:dyDescent="0.25">
      <c r="A225">
        <v>224</v>
      </c>
      <c r="B225">
        <v>44248</v>
      </c>
      <c r="C225" t="s">
        <v>5</v>
      </c>
      <c r="D225" t="s">
        <v>4</v>
      </c>
      <c r="E225">
        <v>478400</v>
      </c>
      <c r="F225">
        <v>17476.2</v>
      </c>
      <c r="G225">
        <v>2392</v>
      </c>
      <c r="H225">
        <v>48</v>
      </c>
      <c r="I225">
        <v>5</v>
      </c>
      <c r="J225">
        <v>12910</v>
      </c>
    </row>
    <row r="226" spans="1:10" x14ac:dyDescent="0.25">
      <c r="A226">
        <v>225</v>
      </c>
      <c r="B226">
        <v>44248</v>
      </c>
      <c r="C226" t="s">
        <v>6</v>
      </c>
      <c r="D226" t="s">
        <v>7</v>
      </c>
      <c r="E226">
        <v>713896</v>
      </c>
      <c r="F226">
        <v>30801</v>
      </c>
      <c r="G226">
        <v>4507</v>
      </c>
      <c r="H226">
        <v>90</v>
      </c>
      <c r="I226">
        <v>20</v>
      </c>
      <c r="J226">
        <v>159620</v>
      </c>
    </row>
    <row r="227" spans="1:10" x14ac:dyDescent="0.25">
      <c r="A227">
        <v>226</v>
      </c>
      <c r="B227">
        <v>44248</v>
      </c>
      <c r="C227" t="s">
        <v>8</v>
      </c>
      <c r="D227" t="s">
        <v>1</v>
      </c>
      <c r="E227">
        <v>555915</v>
      </c>
      <c r="F227">
        <v>29457.5</v>
      </c>
      <c r="G227">
        <v>2709</v>
      </c>
      <c r="H227">
        <v>60</v>
      </c>
      <c r="I227">
        <v>10</v>
      </c>
      <c r="J227">
        <v>55540</v>
      </c>
    </row>
    <row r="228" spans="1:10" x14ac:dyDescent="0.25">
      <c r="A228">
        <v>227</v>
      </c>
      <c r="B228">
        <v>44248</v>
      </c>
      <c r="C228" t="s">
        <v>9</v>
      </c>
      <c r="D228" t="s">
        <v>1</v>
      </c>
      <c r="E228">
        <v>781353</v>
      </c>
      <c r="F228">
        <v>12503.5</v>
      </c>
      <c r="G228">
        <v>5104</v>
      </c>
      <c r="H228">
        <v>102</v>
      </c>
      <c r="I228">
        <v>4</v>
      </c>
      <c r="J228">
        <v>7924</v>
      </c>
    </row>
    <row r="229" spans="1:10" x14ac:dyDescent="0.25">
      <c r="A229">
        <v>228</v>
      </c>
      <c r="B229">
        <v>44248</v>
      </c>
      <c r="C229" t="s">
        <v>10</v>
      </c>
      <c r="D229" t="s">
        <v>1</v>
      </c>
      <c r="E229">
        <v>10812</v>
      </c>
      <c r="F229">
        <v>1555.96</v>
      </c>
      <c r="G229">
        <v>296</v>
      </c>
      <c r="H229">
        <v>3</v>
      </c>
      <c r="I229">
        <v>1</v>
      </c>
      <c r="J229">
        <v>3993</v>
      </c>
    </row>
    <row r="230" spans="1:10" x14ac:dyDescent="0.25">
      <c r="A230">
        <v>229</v>
      </c>
      <c r="B230">
        <v>44248</v>
      </c>
      <c r="C230" t="s">
        <v>11</v>
      </c>
      <c r="D230" t="s">
        <v>1</v>
      </c>
      <c r="E230">
        <v>119400</v>
      </c>
      <c r="F230">
        <v>32169.9</v>
      </c>
      <c r="G230">
        <v>1194</v>
      </c>
      <c r="H230">
        <v>24</v>
      </c>
      <c r="I230">
        <v>4</v>
      </c>
      <c r="J230">
        <v>3924</v>
      </c>
    </row>
    <row r="231" spans="1:10" x14ac:dyDescent="0.25">
      <c r="A231">
        <v>230</v>
      </c>
      <c r="B231">
        <v>44248</v>
      </c>
      <c r="C231" t="s">
        <v>12</v>
      </c>
      <c r="D231" t="s">
        <v>7</v>
      </c>
      <c r="E231">
        <v>300900</v>
      </c>
      <c r="F231">
        <v>65006.3</v>
      </c>
      <c r="G231">
        <v>3009</v>
      </c>
      <c r="H231">
        <v>89</v>
      </c>
      <c r="I231">
        <v>17</v>
      </c>
      <c r="J231">
        <v>84677</v>
      </c>
    </row>
    <row r="232" spans="1:10" x14ac:dyDescent="0.25">
      <c r="A232">
        <v>231</v>
      </c>
      <c r="B232">
        <v>44248</v>
      </c>
      <c r="C232" t="s">
        <v>13</v>
      </c>
      <c r="D232" t="s">
        <v>14</v>
      </c>
      <c r="E232">
        <v>42080000</v>
      </c>
      <c r="F232">
        <v>25023.200000000001</v>
      </c>
      <c r="G232">
        <v>4208</v>
      </c>
      <c r="H232">
        <v>67</v>
      </c>
      <c r="I232">
        <v>10</v>
      </c>
      <c r="J232">
        <v>31710</v>
      </c>
    </row>
    <row r="233" spans="1:10" x14ac:dyDescent="0.25">
      <c r="A233">
        <v>232</v>
      </c>
      <c r="B233">
        <v>44249</v>
      </c>
      <c r="C233" t="s">
        <v>0</v>
      </c>
      <c r="D233" t="s">
        <v>1</v>
      </c>
      <c r="E233">
        <v>605386</v>
      </c>
      <c r="F233">
        <v>59710</v>
      </c>
      <c r="G233">
        <v>4802</v>
      </c>
      <c r="H233">
        <v>96</v>
      </c>
      <c r="I233">
        <v>12</v>
      </c>
      <c r="J233">
        <v>67632</v>
      </c>
    </row>
    <row r="234" spans="1:10" x14ac:dyDescent="0.25">
      <c r="A234">
        <v>233</v>
      </c>
      <c r="B234">
        <v>44249</v>
      </c>
      <c r="C234" t="s">
        <v>2</v>
      </c>
      <c r="D234" t="s">
        <v>1</v>
      </c>
      <c r="E234">
        <v>2090371</v>
      </c>
      <c r="F234">
        <v>95536.2</v>
      </c>
      <c r="G234">
        <v>6606</v>
      </c>
      <c r="H234">
        <v>132</v>
      </c>
      <c r="I234">
        <v>14</v>
      </c>
      <c r="J234">
        <v>69734</v>
      </c>
    </row>
    <row r="235" spans="1:10" x14ac:dyDescent="0.25">
      <c r="A235">
        <v>234</v>
      </c>
      <c r="B235">
        <v>44249</v>
      </c>
      <c r="C235" t="s">
        <v>3</v>
      </c>
      <c r="D235" t="s">
        <v>4</v>
      </c>
      <c r="E235">
        <v>90500</v>
      </c>
      <c r="F235">
        <v>30645.4</v>
      </c>
      <c r="G235">
        <v>1810</v>
      </c>
      <c r="H235">
        <v>65</v>
      </c>
      <c r="I235">
        <v>7</v>
      </c>
      <c r="J235">
        <v>59045</v>
      </c>
    </row>
    <row r="236" spans="1:10" x14ac:dyDescent="0.25">
      <c r="A236">
        <v>235</v>
      </c>
      <c r="B236">
        <v>44249</v>
      </c>
      <c r="C236" t="s">
        <v>5</v>
      </c>
      <c r="D236" t="s">
        <v>4</v>
      </c>
      <c r="E236">
        <v>959600</v>
      </c>
      <c r="F236">
        <v>12348.3</v>
      </c>
      <c r="G236">
        <v>4798</v>
      </c>
      <c r="H236">
        <v>39</v>
      </c>
      <c r="I236">
        <v>4</v>
      </c>
      <c r="J236">
        <v>11924</v>
      </c>
    </row>
    <row r="237" spans="1:10" x14ac:dyDescent="0.25">
      <c r="A237">
        <v>236</v>
      </c>
      <c r="B237">
        <v>44249</v>
      </c>
      <c r="C237" t="s">
        <v>6</v>
      </c>
      <c r="D237" t="s">
        <v>7</v>
      </c>
      <c r="E237">
        <v>757387</v>
      </c>
      <c r="F237">
        <v>77803.8</v>
      </c>
      <c r="G237">
        <v>8997</v>
      </c>
      <c r="H237">
        <v>180</v>
      </c>
      <c r="I237">
        <v>42</v>
      </c>
      <c r="J237">
        <v>359394</v>
      </c>
    </row>
    <row r="238" spans="1:10" x14ac:dyDescent="0.25">
      <c r="A238">
        <v>237</v>
      </c>
      <c r="B238">
        <v>44249</v>
      </c>
      <c r="C238" t="s">
        <v>8</v>
      </c>
      <c r="D238" t="s">
        <v>1</v>
      </c>
      <c r="E238">
        <v>4565811</v>
      </c>
      <c r="F238">
        <v>33474.699999999997</v>
      </c>
      <c r="G238">
        <v>5397</v>
      </c>
      <c r="H238">
        <v>108</v>
      </c>
      <c r="I238">
        <v>9</v>
      </c>
      <c r="J238">
        <v>53829</v>
      </c>
    </row>
    <row r="239" spans="1:10" x14ac:dyDescent="0.25">
      <c r="A239">
        <v>238</v>
      </c>
      <c r="B239">
        <v>44249</v>
      </c>
      <c r="C239" t="s">
        <v>9</v>
      </c>
      <c r="D239" t="s">
        <v>1</v>
      </c>
      <c r="E239">
        <v>2190892</v>
      </c>
      <c r="F239">
        <v>19196.599999999999</v>
      </c>
      <c r="G239">
        <v>10202</v>
      </c>
      <c r="H239">
        <v>124</v>
      </c>
      <c r="I239">
        <v>7</v>
      </c>
      <c r="J239">
        <v>14602</v>
      </c>
    </row>
    <row r="240" spans="1:10" x14ac:dyDescent="0.25">
      <c r="A240">
        <v>239</v>
      </c>
      <c r="B240">
        <v>44249</v>
      </c>
      <c r="C240" t="s">
        <v>10</v>
      </c>
      <c r="D240" t="s">
        <v>1</v>
      </c>
      <c r="E240">
        <v>17821</v>
      </c>
      <c r="F240">
        <v>5792.48</v>
      </c>
      <c r="G240">
        <v>598</v>
      </c>
      <c r="H240">
        <v>12</v>
      </c>
      <c r="I240">
        <v>3</v>
      </c>
      <c r="J240">
        <v>12168</v>
      </c>
    </row>
    <row r="241" spans="1:10" x14ac:dyDescent="0.25">
      <c r="A241">
        <v>240</v>
      </c>
      <c r="B241">
        <v>44249</v>
      </c>
      <c r="C241" t="s">
        <v>11</v>
      </c>
      <c r="D241" t="s">
        <v>1</v>
      </c>
      <c r="E241">
        <v>239600</v>
      </c>
      <c r="F241">
        <v>51783.3</v>
      </c>
      <c r="G241">
        <v>2396</v>
      </c>
      <c r="H241">
        <v>48</v>
      </c>
      <c r="I241">
        <v>6</v>
      </c>
      <c r="J241">
        <v>5886</v>
      </c>
    </row>
    <row r="242" spans="1:10" x14ac:dyDescent="0.25">
      <c r="A242">
        <v>241</v>
      </c>
      <c r="B242">
        <v>44249</v>
      </c>
      <c r="C242" t="s">
        <v>12</v>
      </c>
      <c r="D242" t="s">
        <v>7</v>
      </c>
      <c r="E242">
        <v>599700</v>
      </c>
      <c r="F242">
        <v>137382</v>
      </c>
      <c r="G242">
        <v>5997</v>
      </c>
      <c r="H242">
        <v>236</v>
      </c>
      <c r="I242">
        <v>35</v>
      </c>
      <c r="J242">
        <v>158340</v>
      </c>
    </row>
    <row r="243" spans="1:10" x14ac:dyDescent="0.25">
      <c r="A243">
        <v>242</v>
      </c>
      <c r="B243">
        <v>44249</v>
      </c>
      <c r="C243" t="s">
        <v>13</v>
      </c>
      <c r="D243" t="s">
        <v>14</v>
      </c>
      <c r="E243">
        <v>105873774</v>
      </c>
      <c r="F243">
        <v>60021.599999999999</v>
      </c>
      <c r="G243">
        <v>8409</v>
      </c>
      <c r="H243">
        <v>168</v>
      </c>
      <c r="I243">
        <v>20</v>
      </c>
      <c r="J243">
        <v>80600</v>
      </c>
    </row>
    <row r="244" spans="1:10" x14ac:dyDescent="0.25">
      <c r="A244">
        <v>243</v>
      </c>
      <c r="B244">
        <v>44250</v>
      </c>
      <c r="C244" t="s">
        <v>0</v>
      </c>
      <c r="D244" t="s">
        <v>1</v>
      </c>
      <c r="E244">
        <v>924525</v>
      </c>
      <c r="F244">
        <v>9858.2800000000007</v>
      </c>
      <c r="G244">
        <v>1203</v>
      </c>
      <c r="H244">
        <v>28</v>
      </c>
      <c r="I244">
        <v>2</v>
      </c>
      <c r="J244">
        <v>9962</v>
      </c>
    </row>
    <row r="245" spans="1:10" x14ac:dyDescent="0.25">
      <c r="A245">
        <v>244</v>
      </c>
      <c r="B245">
        <v>44250</v>
      </c>
      <c r="C245" t="s">
        <v>2</v>
      </c>
      <c r="D245" t="s">
        <v>1</v>
      </c>
      <c r="E245">
        <v>475992</v>
      </c>
      <c r="F245">
        <v>19350</v>
      </c>
      <c r="G245">
        <v>1641</v>
      </c>
      <c r="H245">
        <v>37</v>
      </c>
      <c r="I245">
        <v>3</v>
      </c>
      <c r="J245">
        <v>12225</v>
      </c>
    </row>
    <row r="246" spans="1:10" x14ac:dyDescent="0.25">
      <c r="A246">
        <v>245</v>
      </c>
      <c r="B246">
        <v>44250</v>
      </c>
      <c r="C246" t="s">
        <v>3</v>
      </c>
      <c r="D246" t="s">
        <v>4</v>
      </c>
      <c r="E246">
        <v>22175</v>
      </c>
      <c r="F246">
        <v>5409.21</v>
      </c>
      <c r="G246">
        <v>442</v>
      </c>
      <c r="H246">
        <v>9</v>
      </c>
      <c r="I246">
        <v>2</v>
      </c>
      <c r="J246">
        <v>15050</v>
      </c>
    </row>
    <row r="247" spans="1:10" x14ac:dyDescent="0.25">
      <c r="A247">
        <v>246</v>
      </c>
      <c r="B247">
        <v>44250</v>
      </c>
      <c r="C247" t="s">
        <v>5</v>
      </c>
      <c r="D247" t="s">
        <v>4</v>
      </c>
      <c r="E247">
        <v>241000</v>
      </c>
      <c r="F247">
        <v>12581.6</v>
      </c>
      <c r="G247">
        <v>1205</v>
      </c>
      <c r="H247">
        <v>24</v>
      </c>
      <c r="I247">
        <v>3</v>
      </c>
      <c r="J247">
        <v>8943</v>
      </c>
    </row>
    <row r="248" spans="1:10" x14ac:dyDescent="0.25">
      <c r="A248">
        <v>247</v>
      </c>
      <c r="B248">
        <v>44250</v>
      </c>
      <c r="C248" t="s">
        <v>6</v>
      </c>
      <c r="D248" t="s">
        <v>7</v>
      </c>
      <c r="E248">
        <v>297609</v>
      </c>
      <c r="F248">
        <v>16343</v>
      </c>
      <c r="G248">
        <v>2246</v>
      </c>
      <c r="H248">
        <v>45</v>
      </c>
      <c r="I248">
        <v>8</v>
      </c>
      <c r="J248">
        <v>63848</v>
      </c>
    </row>
    <row r="249" spans="1:10" x14ac:dyDescent="0.25">
      <c r="A249">
        <v>248</v>
      </c>
      <c r="B249">
        <v>44250</v>
      </c>
      <c r="C249" t="s">
        <v>8</v>
      </c>
      <c r="D249" t="s">
        <v>1</v>
      </c>
      <c r="E249">
        <v>536236</v>
      </c>
      <c r="F249">
        <v>557.25</v>
      </c>
      <c r="G249">
        <v>1349</v>
      </c>
      <c r="H249">
        <v>1</v>
      </c>
      <c r="I249">
        <v>0</v>
      </c>
      <c r="J249">
        <v>0</v>
      </c>
    </row>
    <row r="250" spans="1:10" x14ac:dyDescent="0.25">
      <c r="A250">
        <v>249</v>
      </c>
      <c r="B250">
        <v>44250</v>
      </c>
      <c r="C250" t="s">
        <v>9</v>
      </c>
      <c r="D250" t="s">
        <v>1</v>
      </c>
      <c r="E250">
        <v>512000</v>
      </c>
      <c r="F250">
        <v>4285.4399999999996</v>
      </c>
      <c r="G250">
        <v>2560</v>
      </c>
      <c r="H250">
        <v>51</v>
      </c>
      <c r="I250">
        <v>2</v>
      </c>
      <c r="J250">
        <v>2934</v>
      </c>
    </row>
    <row r="251" spans="1:10" x14ac:dyDescent="0.25">
      <c r="A251">
        <v>250</v>
      </c>
      <c r="B251">
        <v>44250</v>
      </c>
      <c r="C251" t="s">
        <v>10</v>
      </c>
      <c r="D251" t="s">
        <v>1</v>
      </c>
      <c r="E251">
        <v>4908</v>
      </c>
      <c r="F251">
        <v>1238.0899999999999</v>
      </c>
      <c r="G251">
        <v>155</v>
      </c>
      <c r="H251">
        <v>3</v>
      </c>
      <c r="I251">
        <v>1</v>
      </c>
      <c r="J251">
        <v>5265</v>
      </c>
    </row>
    <row r="252" spans="1:10" x14ac:dyDescent="0.25">
      <c r="A252">
        <v>251</v>
      </c>
      <c r="B252">
        <v>44250</v>
      </c>
      <c r="C252" t="s">
        <v>11</v>
      </c>
      <c r="D252" t="s">
        <v>1</v>
      </c>
      <c r="E252">
        <v>60800</v>
      </c>
      <c r="F252">
        <v>16078.6</v>
      </c>
      <c r="G252">
        <v>608</v>
      </c>
      <c r="H252">
        <v>12</v>
      </c>
      <c r="I252">
        <v>2</v>
      </c>
      <c r="J252">
        <v>2720</v>
      </c>
    </row>
    <row r="253" spans="1:10" x14ac:dyDescent="0.25">
      <c r="A253">
        <v>252</v>
      </c>
      <c r="B253">
        <v>44250</v>
      </c>
      <c r="C253" t="s">
        <v>12</v>
      </c>
      <c r="D253" t="s">
        <v>7</v>
      </c>
      <c r="E253">
        <v>117218</v>
      </c>
      <c r="F253">
        <v>15435</v>
      </c>
      <c r="G253">
        <v>1500</v>
      </c>
      <c r="H253">
        <v>31</v>
      </c>
      <c r="I253">
        <v>4</v>
      </c>
      <c r="J253">
        <v>17816</v>
      </c>
    </row>
    <row r="254" spans="1:10" x14ac:dyDescent="0.25">
      <c r="A254">
        <v>253</v>
      </c>
      <c r="B254">
        <v>44250</v>
      </c>
      <c r="C254" t="s">
        <v>13</v>
      </c>
      <c r="D254" t="s">
        <v>14</v>
      </c>
      <c r="E254">
        <v>654544</v>
      </c>
      <c r="F254">
        <v>16706.400000000001</v>
      </c>
      <c r="G254">
        <v>2099</v>
      </c>
      <c r="H254">
        <v>42</v>
      </c>
      <c r="I254">
        <v>6</v>
      </c>
      <c r="J254">
        <v>23886</v>
      </c>
    </row>
    <row r="255" spans="1:10" x14ac:dyDescent="0.25">
      <c r="A255">
        <v>254</v>
      </c>
      <c r="B255">
        <v>44251</v>
      </c>
      <c r="C255" t="s">
        <v>0</v>
      </c>
      <c r="D255" t="s">
        <v>1</v>
      </c>
      <c r="E255">
        <v>479596</v>
      </c>
      <c r="F255">
        <v>94564.2</v>
      </c>
      <c r="G255">
        <v>2408</v>
      </c>
      <c r="H255">
        <v>93</v>
      </c>
      <c r="I255">
        <v>15</v>
      </c>
      <c r="J255">
        <v>81825</v>
      </c>
    </row>
    <row r="256" spans="1:10" x14ac:dyDescent="0.25">
      <c r="A256">
        <v>255</v>
      </c>
      <c r="B256">
        <v>44251</v>
      </c>
      <c r="C256" t="s">
        <v>2</v>
      </c>
      <c r="D256" t="s">
        <v>1</v>
      </c>
      <c r="E256">
        <v>395127</v>
      </c>
      <c r="F256">
        <v>44347.199999999997</v>
      </c>
      <c r="G256">
        <v>3297</v>
      </c>
      <c r="H256">
        <v>66</v>
      </c>
      <c r="I256">
        <v>7</v>
      </c>
      <c r="J256">
        <v>34867</v>
      </c>
    </row>
    <row r="257" spans="1:10" x14ac:dyDescent="0.25">
      <c r="A257">
        <v>256</v>
      </c>
      <c r="B257">
        <v>44251</v>
      </c>
      <c r="C257" t="s">
        <v>3</v>
      </c>
      <c r="D257" t="s">
        <v>4</v>
      </c>
      <c r="E257">
        <v>45150</v>
      </c>
      <c r="F257">
        <v>14306.2</v>
      </c>
      <c r="G257">
        <v>903</v>
      </c>
      <c r="H257">
        <v>18</v>
      </c>
      <c r="I257">
        <v>3</v>
      </c>
      <c r="J257">
        <v>23943</v>
      </c>
    </row>
    <row r="258" spans="1:10" x14ac:dyDescent="0.25">
      <c r="A258">
        <v>257</v>
      </c>
      <c r="B258">
        <v>44251</v>
      </c>
      <c r="C258" t="s">
        <v>5</v>
      </c>
      <c r="D258" t="s">
        <v>4</v>
      </c>
      <c r="E258">
        <v>291441</v>
      </c>
      <c r="F258">
        <v>22357.599999999999</v>
      </c>
      <c r="G258">
        <v>2408</v>
      </c>
      <c r="H258">
        <v>52</v>
      </c>
      <c r="I258">
        <v>5</v>
      </c>
      <c r="J258">
        <v>19060</v>
      </c>
    </row>
    <row r="259" spans="1:10" x14ac:dyDescent="0.25">
      <c r="A259">
        <v>258</v>
      </c>
      <c r="B259">
        <v>44251</v>
      </c>
      <c r="C259" t="s">
        <v>6</v>
      </c>
      <c r="D259" t="s">
        <v>7</v>
      </c>
      <c r="E259">
        <v>409320</v>
      </c>
      <c r="F259">
        <v>22944.3</v>
      </c>
      <c r="G259">
        <v>4508</v>
      </c>
      <c r="H259">
        <v>65</v>
      </c>
      <c r="I259">
        <v>14</v>
      </c>
      <c r="J259">
        <v>111734</v>
      </c>
    </row>
    <row r="260" spans="1:10" x14ac:dyDescent="0.25">
      <c r="A260">
        <v>259</v>
      </c>
      <c r="B260">
        <v>44251</v>
      </c>
      <c r="C260" t="s">
        <v>8</v>
      </c>
      <c r="D260" t="s">
        <v>1</v>
      </c>
      <c r="E260">
        <v>869482</v>
      </c>
      <c r="F260">
        <v>23908.400000000001</v>
      </c>
      <c r="G260">
        <v>2703</v>
      </c>
      <c r="H260">
        <v>42</v>
      </c>
      <c r="I260">
        <v>7</v>
      </c>
      <c r="J260">
        <v>36456</v>
      </c>
    </row>
    <row r="261" spans="1:10" x14ac:dyDescent="0.25">
      <c r="A261">
        <v>260</v>
      </c>
      <c r="B261">
        <v>44251</v>
      </c>
      <c r="C261" t="s">
        <v>9</v>
      </c>
      <c r="D261" t="s">
        <v>1</v>
      </c>
      <c r="E261">
        <v>624157</v>
      </c>
      <c r="F261">
        <v>18675</v>
      </c>
      <c r="G261">
        <v>5098</v>
      </c>
      <c r="H261">
        <v>122</v>
      </c>
      <c r="I261">
        <v>6</v>
      </c>
      <c r="J261">
        <v>10590</v>
      </c>
    </row>
    <row r="262" spans="1:10" x14ac:dyDescent="0.25">
      <c r="A262">
        <v>261</v>
      </c>
      <c r="B262">
        <v>44251</v>
      </c>
      <c r="C262" t="s">
        <v>10</v>
      </c>
      <c r="D262" t="s">
        <v>1</v>
      </c>
      <c r="E262">
        <v>8966</v>
      </c>
      <c r="F262">
        <v>2857.1</v>
      </c>
      <c r="G262">
        <v>297</v>
      </c>
      <c r="H262">
        <v>6</v>
      </c>
      <c r="I262">
        <v>1</v>
      </c>
      <c r="J262">
        <v>4981</v>
      </c>
    </row>
    <row r="263" spans="1:10" x14ac:dyDescent="0.25">
      <c r="A263">
        <v>262</v>
      </c>
      <c r="B263">
        <v>44251</v>
      </c>
      <c r="C263" t="s">
        <v>11</v>
      </c>
      <c r="D263" t="s">
        <v>1</v>
      </c>
      <c r="E263">
        <v>148794</v>
      </c>
      <c r="F263">
        <v>48796.6</v>
      </c>
      <c r="G263">
        <v>1196</v>
      </c>
      <c r="H263">
        <v>38</v>
      </c>
      <c r="I263">
        <v>6</v>
      </c>
      <c r="J263">
        <v>8178</v>
      </c>
    </row>
    <row r="264" spans="1:10" x14ac:dyDescent="0.25">
      <c r="A264">
        <v>263</v>
      </c>
      <c r="B264">
        <v>44251</v>
      </c>
      <c r="C264" t="s">
        <v>12</v>
      </c>
      <c r="D264" t="s">
        <v>7</v>
      </c>
      <c r="E264">
        <v>355802</v>
      </c>
      <c r="F264">
        <v>42311.5</v>
      </c>
      <c r="G264">
        <v>2990</v>
      </c>
      <c r="H264">
        <v>60</v>
      </c>
      <c r="I264">
        <v>9</v>
      </c>
      <c r="J264">
        <v>44829</v>
      </c>
    </row>
    <row r="265" spans="1:10" x14ac:dyDescent="0.25">
      <c r="A265">
        <v>264</v>
      </c>
      <c r="B265">
        <v>44251</v>
      </c>
      <c r="C265" t="s">
        <v>13</v>
      </c>
      <c r="D265" t="s">
        <v>14</v>
      </c>
      <c r="E265">
        <v>2770687</v>
      </c>
      <c r="F265">
        <v>34169.9</v>
      </c>
      <c r="G265">
        <v>4205</v>
      </c>
      <c r="H265">
        <v>84</v>
      </c>
      <c r="I265">
        <v>16</v>
      </c>
      <c r="J265">
        <v>63696</v>
      </c>
    </row>
    <row r="266" spans="1:10" x14ac:dyDescent="0.25">
      <c r="A266">
        <v>265</v>
      </c>
      <c r="B266">
        <v>44252</v>
      </c>
      <c r="C266" t="s">
        <v>0</v>
      </c>
      <c r="D266" t="s">
        <v>1</v>
      </c>
      <c r="E266">
        <v>94600</v>
      </c>
      <c r="F266">
        <v>11230.2</v>
      </c>
      <c r="G266">
        <v>473</v>
      </c>
      <c r="H266">
        <v>15</v>
      </c>
      <c r="I266">
        <v>2</v>
      </c>
      <c r="J266">
        <v>10104</v>
      </c>
    </row>
    <row r="267" spans="1:10" x14ac:dyDescent="0.25">
      <c r="A267">
        <v>266</v>
      </c>
      <c r="B267">
        <v>44252</v>
      </c>
      <c r="C267" t="s">
        <v>2</v>
      </c>
      <c r="D267" t="s">
        <v>1</v>
      </c>
      <c r="E267">
        <v>131400</v>
      </c>
      <c r="F267">
        <v>10357</v>
      </c>
      <c r="G267">
        <v>657</v>
      </c>
      <c r="H267">
        <v>13</v>
      </c>
      <c r="I267">
        <v>2</v>
      </c>
      <c r="J267">
        <v>9962</v>
      </c>
    </row>
    <row r="268" spans="1:10" x14ac:dyDescent="0.25">
      <c r="A268">
        <v>267</v>
      </c>
      <c r="B268">
        <v>44252</v>
      </c>
      <c r="C268" t="s">
        <v>3</v>
      </c>
      <c r="D268" t="s">
        <v>4</v>
      </c>
      <c r="E268">
        <v>8750</v>
      </c>
      <c r="F268">
        <v>1078.73</v>
      </c>
      <c r="G268">
        <v>175</v>
      </c>
      <c r="H268">
        <v>1</v>
      </c>
      <c r="I268">
        <v>0</v>
      </c>
      <c r="J268">
        <v>0</v>
      </c>
    </row>
    <row r="269" spans="1:10" x14ac:dyDescent="0.25">
      <c r="A269">
        <v>268</v>
      </c>
      <c r="B269">
        <v>44252</v>
      </c>
      <c r="C269" t="s">
        <v>5</v>
      </c>
      <c r="D269" t="s">
        <v>4</v>
      </c>
      <c r="E269">
        <v>61867</v>
      </c>
      <c r="F269">
        <v>9472.2199999999993</v>
      </c>
      <c r="G269">
        <v>487</v>
      </c>
      <c r="H269">
        <v>19</v>
      </c>
      <c r="I269">
        <v>2</v>
      </c>
      <c r="J269">
        <v>5730</v>
      </c>
    </row>
    <row r="270" spans="1:10" x14ac:dyDescent="0.25">
      <c r="A270">
        <v>269</v>
      </c>
      <c r="B270">
        <v>44252</v>
      </c>
      <c r="C270" t="s">
        <v>6</v>
      </c>
      <c r="D270" t="s">
        <v>7</v>
      </c>
      <c r="E270">
        <v>94976</v>
      </c>
      <c r="F270">
        <v>9034.91</v>
      </c>
      <c r="G270">
        <v>904</v>
      </c>
      <c r="H270">
        <v>22</v>
      </c>
      <c r="I270">
        <v>5</v>
      </c>
      <c r="J270">
        <v>38030</v>
      </c>
    </row>
    <row r="271" spans="1:10" x14ac:dyDescent="0.25">
      <c r="A271">
        <v>270</v>
      </c>
      <c r="B271">
        <v>44252</v>
      </c>
      <c r="C271" t="s">
        <v>8</v>
      </c>
      <c r="D271" t="s">
        <v>1</v>
      </c>
      <c r="E271">
        <v>106000</v>
      </c>
      <c r="F271">
        <v>2304.0100000000002</v>
      </c>
      <c r="G271">
        <v>530</v>
      </c>
      <c r="H271">
        <v>6</v>
      </c>
      <c r="I271">
        <v>1</v>
      </c>
      <c r="J271">
        <v>5981</v>
      </c>
    </row>
    <row r="272" spans="1:10" x14ac:dyDescent="0.25">
      <c r="A272">
        <v>271</v>
      </c>
      <c r="B272">
        <v>44252</v>
      </c>
      <c r="C272" t="s">
        <v>9</v>
      </c>
      <c r="D272" t="s">
        <v>1</v>
      </c>
      <c r="E272">
        <v>115468</v>
      </c>
      <c r="F272">
        <v>2059.0300000000002</v>
      </c>
      <c r="G272">
        <v>1015</v>
      </c>
      <c r="H272">
        <v>20</v>
      </c>
      <c r="I272">
        <v>1</v>
      </c>
      <c r="J272">
        <v>1981</v>
      </c>
    </row>
    <row r="273" spans="1:10" x14ac:dyDescent="0.25">
      <c r="A273">
        <v>272</v>
      </c>
      <c r="B273">
        <v>44252</v>
      </c>
      <c r="C273" t="s">
        <v>10</v>
      </c>
      <c r="D273" t="s">
        <v>1</v>
      </c>
      <c r="E273">
        <v>2214</v>
      </c>
      <c r="F273">
        <v>1487.47</v>
      </c>
      <c r="G273">
        <v>66</v>
      </c>
      <c r="H273">
        <v>3</v>
      </c>
      <c r="I273">
        <v>1</v>
      </c>
      <c r="J273">
        <v>4461</v>
      </c>
    </row>
    <row r="274" spans="1:10" x14ac:dyDescent="0.25">
      <c r="A274">
        <v>273</v>
      </c>
      <c r="B274">
        <v>44252</v>
      </c>
      <c r="C274" t="s">
        <v>11</v>
      </c>
      <c r="D274" t="s">
        <v>1</v>
      </c>
      <c r="E274">
        <v>25000</v>
      </c>
      <c r="F274">
        <v>5871.29</v>
      </c>
      <c r="G274">
        <v>250</v>
      </c>
      <c r="H274">
        <v>5</v>
      </c>
      <c r="I274">
        <v>1</v>
      </c>
      <c r="J274">
        <v>981</v>
      </c>
    </row>
    <row r="275" spans="1:10" x14ac:dyDescent="0.25">
      <c r="A275">
        <v>274</v>
      </c>
      <c r="B275">
        <v>44252</v>
      </c>
      <c r="C275" t="s">
        <v>12</v>
      </c>
      <c r="D275" t="s">
        <v>7</v>
      </c>
      <c r="E275">
        <v>46753</v>
      </c>
      <c r="F275">
        <v>6227.53</v>
      </c>
      <c r="G275">
        <v>591</v>
      </c>
      <c r="H275">
        <v>12</v>
      </c>
      <c r="I275">
        <v>2</v>
      </c>
      <c r="J275">
        <v>10130</v>
      </c>
    </row>
    <row r="276" spans="1:10" x14ac:dyDescent="0.25">
      <c r="A276">
        <v>275</v>
      </c>
      <c r="B276">
        <v>44252</v>
      </c>
      <c r="C276" t="s">
        <v>13</v>
      </c>
      <c r="D276" t="s">
        <v>14</v>
      </c>
      <c r="E276">
        <v>2885291</v>
      </c>
      <c r="F276">
        <v>7583.66</v>
      </c>
      <c r="G276">
        <v>848</v>
      </c>
      <c r="H276">
        <v>17</v>
      </c>
      <c r="I276">
        <v>3</v>
      </c>
      <c r="J276">
        <v>11943</v>
      </c>
    </row>
    <row r="277" spans="1:10" x14ac:dyDescent="0.25">
      <c r="A277">
        <v>276</v>
      </c>
      <c r="B277">
        <v>44253</v>
      </c>
      <c r="C277" t="s">
        <v>0</v>
      </c>
      <c r="D277" t="s">
        <v>1</v>
      </c>
      <c r="E277">
        <v>168408</v>
      </c>
      <c r="F277">
        <v>19887.7</v>
      </c>
      <c r="G277">
        <v>1207</v>
      </c>
      <c r="H277">
        <v>39</v>
      </c>
      <c r="I277">
        <v>4</v>
      </c>
      <c r="J277">
        <v>22488</v>
      </c>
    </row>
    <row r="278" spans="1:10" x14ac:dyDescent="0.25">
      <c r="A278">
        <v>277</v>
      </c>
      <c r="B278">
        <v>44253</v>
      </c>
      <c r="C278" t="s">
        <v>2</v>
      </c>
      <c r="D278" t="s">
        <v>1</v>
      </c>
      <c r="E278">
        <v>438858</v>
      </c>
      <c r="F278">
        <v>17935.400000000001</v>
      </c>
      <c r="G278">
        <v>1657</v>
      </c>
      <c r="H278">
        <v>33</v>
      </c>
      <c r="I278">
        <v>3</v>
      </c>
      <c r="J278">
        <v>15345</v>
      </c>
    </row>
    <row r="279" spans="1:10" x14ac:dyDescent="0.25">
      <c r="A279">
        <v>278</v>
      </c>
      <c r="B279">
        <v>44253</v>
      </c>
      <c r="C279" t="s">
        <v>3</v>
      </c>
      <c r="D279" t="s">
        <v>4</v>
      </c>
      <c r="E279">
        <v>22450</v>
      </c>
      <c r="F279">
        <v>1545.74</v>
      </c>
      <c r="G279">
        <v>449</v>
      </c>
      <c r="H279">
        <v>2</v>
      </c>
      <c r="I279">
        <v>0</v>
      </c>
      <c r="J279">
        <v>0</v>
      </c>
    </row>
    <row r="280" spans="1:10" x14ac:dyDescent="0.25">
      <c r="A280">
        <v>279</v>
      </c>
      <c r="B280">
        <v>44253</v>
      </c>
      <c r="C280" t="s">
        <v>5</v>
      </c>
      <c r="D280" t="s">
        <v>4</v>
      </c>
      <c r="E280">
        <v>240600</v>
      </c>
      <c r="F280">
        <v>4453.1000000000004</v>
      </c>
      <c r="G280">
        <v>1203</v>
      </c>
      <c r="H280">
        <v>11</v>
      </c>
      <c r="I280">
        <v>1</v>
      </c>
      <c r="J280">
        <v>2283</v>
      </c>
    </row>
    <row r="281" spans="1:10" x14ac:dyDescent="0.25">
      <c r="A281">
        <v>280</v>
      </c>
      <c r="B281">
        <v>44253</v>
      </c>
      <c r="C281" t="s">
        <v>6</v>
      </c>
      <c r="D281" t="s">
        <v>7</v>
      </c>
      <c r="E281">
        <v>195016</v>
      </c>
      <c r="F281">
        <v>38804.199999999997</v>
      </c>
      <c r="G281">
        <v>2247</v>
      </c>
      <c r="H281">
        <v>82</v>
      </c>
      <c r="I281">
        <v>16</v>
      </c>
      <c r="J281">
        <v>127696</v>
      </c>
    </row>
    <row r="282" spans="1:10" x14ac:dyDescent="0.25">
      <c r="A282">
        <v>281</v>
      </c>
      <c r="B282">
        <v>44253</v>
      </c>
      <c r="C282" t="s">
        <v>8</v>
      </c>
      <c r="D282" t="s">
        <v>1</v>
      </c>
      <c r="E282">
        <v>174375</v>
      </c>
      <c r="F282">
        <v>12592.4</v>
      </c>
      <c r="G282">
        <v>1342</v>
      </c>
      <c r="H282">
        <v>27</v>
      </c>
      <c r="I282">
        <v>4</v>
      </c>
      <c r="J282">
        <v>26556</v>
      </c>
    </row>
    <row r="283" spans="1:10" x14ac:dyDescent="0.25">
      <c r="A283">
        <v>282</v>
      </c>
      <c r="B283">
        <v>44253</v>
      </c>
      <c r="C283" t="s">
        <v>9</v>
      </c>
      <c r="D283" t="s">
        <v>1</v>
      </c>
      <c r="E283">
        <v>508600</v>
      </c>
      <c r="F283">
        <v>2403.54</v>
      </c>
      <c r="G283">
        <v>2543</v>
      </c>
      <c r="H283">
        <v>73</v>
      </c>
      <c r="I283">
        <v>1</v>
      </c>
      <c r="J283">
        <v>1981</v>
      </c>
    </row>
    <row r="284" spans="1:10" x14ac:dyDescent="0.25">
      <c r="A284">
        <v>283</v>
      </c>
      <c r="B284">
        <v>44253</v>
      </c>
      <c r="C284" t="s">
        <v>10</v>
      </c>
      <c r="D284" t="s">
        <v>1</v>
      </c>
      <c r="E284">
        <v>4906</v>
      </c>
      <c r="F284">
        <v>1071.1600000000001</v>
      </c>
      <c r="G284">
        <v>143</v>
      </c>
      <c r="H284">
        <v>3</v>
      </c>
      <c r="I284">
        <v>1</v>
      </c>
      <c r="J284">
        <v>4981</v>
      </c>
    </row>
    <row r="285" spans="1:10" x14ac:dyDescent="0.25">
      <c r="A285">
        <v>284</v>
      </c>
      <c r="B285">
        <v>44253</v>
      </c>
      <c r="C285" t="s">
        <v>11</v>
      </c>
      <c r="D285" t="s">
        <v>1</v>
      </c>
      <c r="E285">
        <v>55269</v>
      </c>
      <c r="F285">
        <v>315.92</v>
      </c>
      <c r="G285">
        <v>610</v>
      </c>
      <c r="H285">
        <v>0</v>
      </c>
      <c r="I285">
        <v>0</v>
      </c>
      <c r="J285">
        <v>0</v>
      </c>
    </row>
    <row r="286" spans="1:10" x14ac:dyDescent="0.25">
      <c r="A286">
        <v>285</v>
      </c>
      <c r="B286">
        <v>44253</v>
      </c>
      <c r="C286" t="s">
        <v>12</v>
      </c>
      <c r="D286" t="s">
        <v>7</v>
      </c>
      <c r="E286">
        <v>192489</v>
      </c>
      <c r="F286">
        <v>15596</v>
      </c>
      <c r="G286">
        <v>1497</v>
      </c>
      <c r="H286">
        <v>34</v>
      </c>
      <c r="I286">
        <v>5</v>
      </c>
      <c r="J286">
        <v>25205</v>
      </c>
    </row>
    <row r="287" spans="1:10" x14ac:dyDescent="0.25">
      <c r="A287">
        <v>286</v>
      </c>
      <c r="B287">
        <v>44253</v>
      </c>
      <c r="C287" t="s">
        <v>13</v>
      </c>
      <c r="D287" t="s">
        <v>14</v>
      </c>
      <c r="E287">
        <v>20930000</v>
      </c>
      <c r="F287">
        <v>8087.73</v>
      </c>
      <c r="G287">
        <v>2093</v>
      </c>
      <c r="H287">
        <v>22</v>
      </c>
      <c r="I287">
        <v>3</v>
      </c>
      <c r="J287">
        <v>12213</v>
      </c>
    </row>
    <row r="288" spans="1:10" x14ac:dyDescent="0.25">
      <c r="A288">
        <v>287</v>
      </c>
      <c r="B288">
        <v>44254</v>
      </c>
      <c r="C288" t="s">
        <v>0</v>
      </c>
      <c r="D288" t="s">
        <v>1</v>
      </c>
      <c r="E288">
        <v>213771</v>
      </c>
      <c r="F288">
        <v>5003.33</v>
      </c>
      <c r="G288">
        <v>241</v>
      </c>
      <c r="H288">
        <v>9</v>
      </c>
      <c r="I288">
        <v>1</v>
      </c>
      <c r="J288">
        <v>4223</v>
      </c>
    </row>
    <row r="289" spans="1:10" x14ac:dyDescent="0.25">
      <c r="A289">
        <v>288</v>
      </c>
      <c r="B289">
        <v>44254</v>
      </c>
      <c r="C289" t="s">
        <v>2</v>
      </c>
      <c r="D289" t="s">
        <v>1</v>
      </c>
      <c r="E289">
        <v>66400</v>
      </c>
      <c r="F289">
        <v>3235.77</v>
      </c>
      <c r="G289">
        <v>332</v>
      </c>
      <c r="H289">
        <v>13</v>
      </c>
      <c r="I289">
        <v>0</v>
      </c>
      <c r="J289">
        <v>0</v>
      </c>
    </row>
    <row r="290" spans="1:10" x14ac:dyDescent="0.25">
      <c r="A290">
        <v>289</v>
      </c>
      <c r="B290">
        <v>44254</v>
      </c>
      <c r="C290" t="s">
        <v>3</v>
      </c>
      <c r="D290" t="s">
        <v>4</v>
      </c>
      <c r="E290">
        <v>4662</v>
      </c>
      <c r="F290">
        <v>1754.25</v>
      </c>
      <c r="G290">
        <v>83</v>
      </c>
      <c r="H290">
        <v>2</v>
      </c>
      <c r="I290">
        <v>0</v>
      </c>
      <c r="J290">
        <v>0</v>
      </c>
    </row>
    <row r="291" spans="1:10" x14ac:dyDescent="0.25">
      <c r="A291">
        <v>290</v>
      </c>
      <c r="B291">
        <v>44254</v>
      </c>
      <c r="C291" t="s">
        <v>5</v>
      </c>
      <c r="D291" t="s">
        <v>4</v>
      </c>
      <c r="E291">
        <v>40004</v>
      </c>
      <c r="F291">
        <v>1487.24</v>
      </c>
      <c r="G291">
        <v>243</v>
      </c>
      <c r="H291">
        <v>5</v>
      </c>
      <c r="I291">
        <v>0</v>
      </c>
      <c r="J291">
        <v>0</v>
      </c>
    </row>
    <row r="292" spans="1:10" x14ac:dyDescent="0.25">
      <c r="A292">
        <v>291</v>
      </c>
      <c r="B292">
        <v>44254</v>
      </c>
      <c r="C292" t="s">
        <v>6</v>
      </c>
      <c r="D292" t="s">
        <v>7</v>
      </c>
      <c r="E292">
        <v>44000</v>
      </c>
      <c r="F292">
        <v>5721.83</v>
      </c>
      <c r="G292">
        <v>440</v>
      </c>
      <c r="H292">
        <v>15</v>
      </c>
      <c r="I292">
        <v>3</v>
      </c>
      <c r="J292">
        <v>23943</v>
      </c>
    </row>
    <row r="293" spans="1:10" x14ac:dyDescent="0.25">
      <c r="A293">
        <v>292</v>
      </c>
      <c r="B293">
        <v>44254</v>
      </c>
      <c r="C293" t="s">
        <v>8</v>
      </c>
      <c r="D293" t="s">
        <v>1</v>
      </c>
      <c r="E293">
        <v>44112</v>
      </c>
      <c r="F293">
        <v>1832.16</v>
      </c>
      <c r="G293">
        <v>275</v>
      </c>
      <c r="H293">
        <v>6</v>
      </c>
      <c r="I293">
        <v>1</v>
      </c>
      <c r="J293">
        <v>5981</v>
      </c>
    </row>
    <row r="294" spans="1:10" x14ac:dyDescent="0.25">
      <c r="A294">
        <v>293</v>
      </c>
      <c r="B294">
        <v>44254</v>
      </c>
      <c r="C294" t="s">
        <v>9</v>
      </c>
      <c r="D294" t="s">
        <v>1</v>
      </c>
      <c r="E294">
        <v>78799</v>
      </c>
      <c r="F294">
        <v>254.14</v>
      </c>
      <c r="G294">
        <v>503</v>
      </c>
      <c r="H294">
        <v>3</v>
      </c>
      <c r="I294">
        <v>0</v>
      </c>
      <c r="J294">
        <v>0</v>
      </c>
    </row>
    <row r="295" spans="1:10" x14ac:dyDescent="0.25">
      <c r="A295">
        <v>294</v>
      </c>
      <c r="B295">
        <v>44254</v>
      </c>
      <c r="C295" t="s">
        <v>10</v>
      </c>
      <c r="D295" t="s">
        <v>1</v>
      </c>
      <c r="E295">
        <v>667</v>
      </c>
      <c r="F295">
        <v>200.42</v>
      </c>
      <c r="G295">
        <v>20</v>
      </c>
      <c r="H295">
        <v>0</v>
      </c>
      <c r="I295">
        <v>0</v>
      </c>
      <c r="J295">
        <v>0</v>
      </c>
    </row>
    <row r="296" spans="1:10" x14ac:dyDescent="0.25">
      <c r="A296">
        <v>295</v>
      </c>
      <c r="B296">
        <v>44254</v>
      </c>
      <c r="C296" t="s">
        <v>11</v>
      </c>
      <c r="D296" t="s">
        <v>1</v>
      </c>
      <c r="E296">
        <v>13693</v>
      </c>
      <c r="F296">
        <v>3098.45</v>
      </c>
      <c r="G296">
        <v>115</v>
      </c>
      <c r="H296">
        <v>2</v>
      </c>
      <c r="I296">
        <v>0</v>
      </c>
      <c r="J296">
        <v>0</v>
      </c>
    </row>
    <row r="297" spans="1:10" x14ac:dyDescent="0.25">
      <c r="A297">
        <v>296</v>
      </c>
      <c r="B297">
        <v>44254</v>
      </c>
      <c r="C297" t="s">
        <v>12</v>
      </c>
      <c r="D297" t="s">
        <v>7</v>
      </c>
      <c r="E297">
        <v>24018</v>
      </c>
      <c r="F297">
        <v>3524.08</v>
      </c>
      <c r="G297">
        <v>298</v>
      </c>
      <c r="H297">
        <v>6</v>
      </c>
      <c r="I297">
        <v>1</v>
      </c>
      <c r="J297">
        <v>4661</v>
      </c>
    </row>
    <row r="298" spans="1:10" x14ac:dyDescent="0.25">
      <c r="A298">
        <v>297</v>
      </c>
      <c r="B298">
        <v>44254</v>
      </c>
      <c r="C298" t="s">
        <v>13</v>
      </c>
      <c r="D298" t="s">
        <v>14</v>
      </c>
      <c r="E298">
        <v>182546</v>
      </c>
      <c r="F298">
        <v>2791.06</v>
      </c>
      <c r="G298">
        <v>426</v>
      </c>
      <c r="H298">
        <v>9</v>
      </c>
      <c r="I298">
        <v>1</v>
      </c>
      <c r="J298">
        <v>3981</v>
      </c>
    </row>
    <row r="299" spans="1:10" x14ac:dyDescent="0.25">
      <c r="A299">
        <v>298</v>
      </c>
      <c r="B299">
        <v>44255</v>
      </c>
      <c r="C299" t="s">
        <v>0</v>
      </c>
      <c r="D299" t="s">
        <v>1</v>
      </c>
      <c r="E299">
        <v>97200</v>
      </c>
      <c r="F299">
        <v>6440.5</v>
      </c>
      <c r="G299">
        <v>486</v>
      </c>
      <c r="H299">
        <v>11</v>
      </c>
      <c r="I299">
        <v>1</v>
      </c>
      <c r="J299">
        <v>4981</v>
      </c>
    </row>
    <row r="300" spans="1:10" x14ac:dyDescent="0.25">
      <c r="A300">
        <v>299</v>
      </c>
      <c r="B300">
        <v>44255</v>
      </c>
      <c r="C300" t="s">
        <v>2</v>
      </c>
      <c r="D300" t="s">
        <v>1</v>
      </c>
      <c r="E300">
        <v>132200</v>
      </c>
      <c r="F300">
        <v>8665.5499999999993</v>
      </c>
      <c r="G300">
        <v>661</v>
      </c>
      <c r="H300">
        <v>13</v>
      </c>
      <c r="I300">
        <v>1</v>
      </c>
      <c r="J300">
        <v>5509</v>
      </c>
    </row>
    <row r="301" spans="1:10" x14ac:dyDescent="0.25">
      <c r="A301">
        <v>300</v>
      </c>
      <c r="B301">
        <v>44255</v>
      </c>
      <c r="C301" t="s">
        <v>3</v>
      </c>
      <c r="D301" t="s">
        <v>25</v>
      </c>
      <c r="E301">
        <v>11554</v>
      </c>
      <c r="F301">
        <v>3529.73</v>
      </c>
      <c r="G301">
        <v>187</v>
      </c>
      <c r="H301">
        <v>5</v>
      </c>
      <c r="I301">
        <v>1</v>
      </c>
      <c r="J301">
        <v>8714</v>
      </c>
    </row>
    <row r="302" spans="1:10" x14ac:dyDescent="0.25">
      <c r="A302">
        <v>301</v>
      </c>
      <c r="B302">
        <v>44255</v>
      </c>
      <c r="C302" t="s">
        <v>5</v>
      </c>
      <c r="D302" t="s">
        <v>4</v>
      </c>
      <c r="E302">
        <v>55625</v>
      </c>
      <c r="F302">
        <v>384.75</v>
      </c>
      <c r="G302">
        <v>487</v>
      </c>
      <c r="H302">
        <v>1</v>
      </c>
      <c r="I302">
        <v>0</v>
      </c>
      <c r="J302">
        <v>0</v>
      </c>
    </row>
    <row r="303" spans="1:10" x14ac:dyDescent="0.25">
      <c r="A303">
        <v>302</v>
      </c>
      <c r="B303">
        <v>44255</v>
      </c>
      <c r="C303" t="s">
        <v>6</v>
      </c>
      <c r="D303" t="s">
        <v>28</v>
      </c>
      <c r="E303">
        <v>129025</v>
      </c>
      <c r="F303">
        <v>9892.77</v>
      </c>
      <c r="G303">
        <v>909</v>
      </c>
      <c r="H303">
        <v>21</v>
      </c>
      <c r="I303">
        <v>5</v>
      </c>
      <c r="J303">
        <v>37450</v>
      </c>
    </row>
    <row r="304" spans="1:10" x14ac:dyDescent="0.25">
      <c r="A304">
        <v>303</v>
      </c>
      <c r="B304">
        <v>44255</v>
      </c>
      <c r="C304" t="s">
        <v>8</v>
      </c>
      <c r="D304" t="s">
        <v>1</v>
      </c>
      <c r="E304">
        <v>63566</v>
      </c>
      <c r="F304">
        <v>4950.74</v>
      </c>
      <c r="G304">
        <v>546</v>
      </c>
      <c r="H304">
        <v>12</v>
      </c>
      <c r="I304">
        <v>1</v>
      </c>
      <c r="J304">
        <v>5981</v>
      </c>
    </row>
    <row r="305" spans="1:10" x14ac:dyDescent="0.25">
      <c r="A305">
        <v>304</v>
      </c>
      <c r="B305">
        <v>44255</v>
      </c>
      <c r="C305" t="s">
        <v>9</v>
      </c>
      <c r="D305" t="s">
        <v>1</v>
      </c>
      <c r="E305">
        <v>775780</v>
      </c>
      <c r="F305">
        <v>760.75</v>
      </c>
      <c r="G305">
        <v>1024</v>
      </c>
      <c r="H305">
        <v>4</v>
      </c>
      <c r="I305">
        <v>0</v>
      </c>
      <c r="J305">
        <v>0</v>
      </c>
    </row>
    <row r="306" spans="1:10" x14ac:dyDescent="0.25">
      <c r="A306">
        <v>305</v>
      </c>
      <c r="B306">
        <v>44255</v>
      </c>
      <c r="C306" t="s">
        <v>10</v>
      </c>
      <c r="D306" t="s">
        <v>1</v>
      </c>
      <c r="E306">
        <v>1933</v>
      </c>
      <c r="F306">
        <v>224.81</v>
      </c>
      <c r="G306">
        <v>58</v>
      </c>
      <c r="H306">
        <v>0</v>
      </c>
      <c r="I306">
        <v>0</v>
      </c>
      <c r="J306">
        <v>0</v>
      </c>
    </row>
    <row r="307" spans="1:10" x14ac:dyDescent="0.25">
      <c r="A307">
        <v>306</v>
      </c>
      <c r="B307">
        <v>44255</v>
      </c>
      <c r="C307" t="s">
        <v>11</v>
      </c>
      <c r="D307" t="s">
        <v>1</v>
      </c>
      <c r="E307">
        <v>25840</v>
      </c>
      <c r="F307">
        <v>6844.8</v>
      </c>
      <c r="G307">
        <v>248</v>
      </c>
      <c r="H307">
        <v>5</v>
      </c>
      <c r="I307">
        <v>1</v>
      </c>
      <c r="J307">
        <v>1491</v>
      </c>
    </row>
    <row r="308" spans="1:10" x14ac:dyDescent="0.25">
      <c r="A308">
        <v>307</v>
      </c>
      <c r="B308">
        <v>44255</v>
      </c>
      <c r="C308" t="s">
        <v>12</v>
      </c>
      <c r="D308" t="s">
        <v>7</v>
      </c>
      <c r="E308">
        <v>94058</v>
      </c>
      <c r="F308">
        <v>4845.6499999999996</v>
      </c>
      <c r="G308">
        <v>594</v>
      </c>
      <c r="H308">
        <v>12</v>
      </c>
      <c r="I308">
        <v>1</v>
      </c>
      <c r="J308">
        <v>5008</v>
      </c>
    </row>
    <row r="309" spans="1:10" x14ac:dyDescent="0.25">
      <c r="A309">
        <v>308</v>
      </c>
      <c r="B309">
        <v>44255</v>
      </c>
      <c r="C309" t="s">
        <v>13</v>
      </c>
      <c r="D309" t="s">
        <v>14</v>
      </c>
      <c r="E309">
        <v>8490000</v>
      </c>
      <c r="F309">
        <v>6822.62</v>
      </c>
      <c r="G309">
        <v>849</v>
      </c>
      <c r="H309">
        <v>18</v>
      </c>
      <c r="I309">
        <v>2</v>
      </c>
      <c r="J309">
        <v>7030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FFF0229-73BD-4E1E-A4A4-D88DA19FEA1C}">
  <ds:schemaRefs/>
</ds:datastoreItem>
</file>

<file path=customXml/itemProps2.xml><?xml version="1.0" encoding="utf-8"?>
<ds:datastoreItem xmlns:ds="http://schemas.openxmlformats.org/officeDocument/2006/customXml" ds:itemID="{7A9563E6-F7BF-4077-8098-8C238CC2D4C4}">
  <ds:schemaRefs/>
</ds:datastoreItem>
</file>

<file path=customXml/itemProps3.xml><?xml version="1.0" encoding="utf-8"?>
<ds:datastoreItem xmlns:ds="http://schemas.openxmlformats.org/officeDocument/2006/customXml" ds:itemID="{11FAB480-536C-4D77-99AF-22239466B386}">
  <ds:schemaRefs/>
</ds:datastoreItem>
</file>

<file path=customXml/itemProps4.xml><?xml version="1.0" encoding="utf-8"?>
<ds:datastoreItem xmlns:ds="http://schemas.openxmlformats.org/officeDocument/2006/customXml" ds:itemID="{E87A51D3-E6BD-400E-B96D-4844DDE1FC89}">
  <ds:schemaRefs/>
</ds:datastoreItem>
</file>

<file path=customXml/itemProps5.xml><?xml version="1.0" encoding="utf-8"?>
<ds:datastoreItem xmlns:ds="http://schemas.openxmlformats.org/officeDocument/2006/customXml" ds:itemID="{AE8C8EB9-67DE-4B52-ADB3-C153CD5AD399}">
  <ds:schemaRefs/>
</ds:datastoreItem>
</file>

<file path=customXml/itemProps6.xml><?xml version="1.0" encoding="utf-8"?>
<ds:datastoreItem xmlns:ds="http://schemas.openxmlformats.org/officeDocument/2006/customXml" ds:itemID="{E70AC4F8-C15B-4CA7-8B41-81E56B6121D6}">
  <ds:schemaRefs/>
</ds:datastoreItem>
</file>

<file path=customXml/itemProps7.xml><?xml version="1.0" encoding="utf-8"?>
<ds:datastoreItem xmlns:ds="http://schemas.openxmlformats.org/officeDocument/2006/customXml" ds:itemID="{8B4E6196-A13E-45DE-87A1-51530427B4C8}">
  <ds:schemaRefs/>
</ds:datastoreItem>
</file>

<file path=customXml/itemProps8.xml><?xml version="1.0" encoding="utf-8"?>
<ds:datastoreItem xmlns:ds="http://schemas.openxmlformats.org/officeDocument/2006/customXml" ds:itemID="{C4172EF4-70DA-419E-8924-670332A0823C}">
  <ds:schemaRefs/>
</ds:datastoreItem>
</file>

<file path=customXml/itemProps9.xml><?xml version="1.0" encoding="utf-8"?>
<ds:datastoreItem xmlns:ds="http://schemas.openxmlformats.org/officeDocument/2006/customXml" ds:itemID="{2F40AFE4-D740-4F85-844B-191F55EEC65B}">
  <ds:schemaRefs/>
</ds:datastoreItem>
</file>

<file path=customXml/itemProps10.xml><?xml version="1.0" encoding="utf-8"?>
<ds:datastoreItem xmlns:ds="http://schemas.openxmlformats.org/officeDocument/2006/customXml" ds:itemID="{73FE90BC-9B56-42DF-96EC-5D21E2D6ADF7}">
  <ds:schemaRefs/>
</ds:datastoreItem>
</file>

<file path=customXml/itemProps11.xml><?xml version="1.0" encoding="utf-8"?>
<ds:datastoreItem xmlns:ds="http://schemas.openxmlformats.org/officeDocument/2006/customXml" ds:itemID="{8DFD2B4A-55E2-4C7D-8E59-C63D91115C5B}">
  <ds:schemaRefs/>
</ds:datastoreItem>
</file>

<file path=customXml/itemProps12.xml><?xml version="1.0" encoding="utf-8"?>
<ds:datastoreItem xmlns:ds="http://schemas.openxmlformats.org/officeDocument/2006/customXml" ds:itemID="{9D967188-1954-4E2C-9784-980D7B0952FD}">
  <ds:schemaRefs/>
</ds:datastoreItem>
</file>

<file path=customXml/itemProps13.xml><?xml version="1.0" encoding="utf-8"?>
<ds:datastoreItem xmlns:ds="http://schemas.openxmlformats.org/officeDocument/2006/customXml" ds:itemID="{CCD7CA60-A86E-4759-8184-54BD8F6CEA00}">
  <ds:schemaRefs/>
</ds:datastoreItem>
</file>

<file path=customXml/itemProps14.xml><?xml version="1.0" encoding="utf-8"?>
<ds:datastoreItem xmlns:ds="http://schemas.openxmlformats.org/officeDocument/2006/customXml" ds:itemID="{CE8962A9-CFC4-4C6A-928C-2099F8058A50}">
  <ds:schemaRefs/>
</ds:datastoreItem>
</file>

<file path=customXml/itemProps15.xml><?xml version="1.0" encoding="utf-8"?>
<ds:datastoreItem xmlns:ds="http://schemas.openxmlformats.org/officeDocument/2006/customXml" ds:itemID="{09454B36-3701-494E-9F23-29C591F660BF}">
  <ds:schemaRefs/>
</ds:datastoreItem>
</file>

<file path=customXml/itemProps16.xml><?xml version="1.0" encoding="utf-8"?>
<ds:datastoreItem xmlns:ds="http://schemas.openxmlformats.org/officeDocument/2006/customXml" ds:itemID="{E39B9890-9593-43AE-862E-B99CA0DF0156}">
  <ds:schemaRefs>
    <ds:schemaRef ds:uri="http://schemas.microsoft.com/DataMashup"/>
  </ds:schemaRefs>
</ds:datastoreItem>
</file>

<file path=customXml/itemProps17.xml><?xml version="1.0" encoding="utf-8"?>
<ds:datastoreItem xmlns:ds="http://schemas.openxmlformats.org/officeDocument/2006/customXml" ds:itemID="{FDAE998E-6EE1-464C-8952-FFF7E366C063}">
  <ds:schemaRefs/>
</ds:datastoreItem>
</file>

<file path=customXml/itemProps18.xml><?xml version="1.0" encoding="utf-8"?>
<ds:datastoreItem xmlns:ds="http://schemas.openxmlformats.org/officeDocument/2006/customXml" ds:itemID="{AF84D3AA-3BC4-4891-BABC-A2A6E695478A}">
  <ds:schemaRefs/>
</ds:datastoreItem>
</file>

<file path=customXml/itemProps19.xml><?xml version="1.0" encoding="utf-8"?>
<ds:datastoreItem xmlns:ds="http://schemas.openxmlformats.org/officeDocument/2006/customXml" ds:itemID="{905AB686-A167-4167-87AA-929562E66296}">
  <ds:schemaRefs/>
</ds:datastoreItem>
</file>

<file path=customXml/itemProps20.xml><?xml version="1.0" encoding="utf-8"?>
<ds:datastoreItem xmlns:ds="http://schemas.openxmlformats.org/officeDocument/2006/customXml" ds:itemID="{1BD68258-93B3-4439-8FE9-FBEC9F27F34E}">
  <ds:schemaRefs/>
</ds:datastoreItem>
</file>

<file path=customXml/itemProps21.xml><?xml version="1.0" encoding="utf-8"?>
<ds:datastoreItem xmlns:ds="http://schemas.openxmlformats.org/officeDocument/2006/customXml" ds:itemID="{243DF283-B49B-4AD6-B952-4EDEC85E7A01}">
  <ds:schemaRefs/>
</ds:datastoreItem>
</file>

<file path=customXml/itemProps22.xml><?xml version="1.0" encoding="utf-8"?>
<ds:datastoreItem xmlns:ds="http://schemas.openxmlformats.org/officeDocument/2006/customXml" ds:itemID="{0E12AC76-6142-4193-83A3-8ADC6F734B4C}">
  <ds:schemaRefs/>
</ds:datastoreItem>
</file>

<file path=customXml/itemProps23.xml><?xml version="1.0" encoding="utf-8"?>
<ds:datastoreItem xmlns:ds="http://schemas.openxmlformats.org/officeDocument/2006/customXml" ds:itemID="{6D1666C5-8230-48CE-AAC0-8D61A13F83B2}">
  <ds:schemaRefs/>
</ds:datastoreItem>
</file>

<file path=customXml/itemProps24.xml><?xml version="1.0" encoding="utf-8"?>
<ds:datastoreItem xmlns:ds="http://schemas.openxmlformats.org/officeDocument/2006/customXml" ds:itemID="{F4AAC40A-F8CF-4B20-AEF7-56AD45EF94B2}">
  <ds:schemaRefs/>
</ds:datastoreItem>
</file>

<file path=customXml/itemProps25.xml><?xml version="1.0" encoding="utf-8"?>
<ds:datastoreItem xmlns:ds="http://schemas.openxmlformats.org/officeDocument/2006/customXml" ds:itemID="{F1C69ED1-E37C-4260-920D-E62F23926901}">
  <ds:schemaRefs/>
</ds:datastoreItem>
</file>

<file path=customXml/itemProps26.xml><?xml version="1.0" encoding="utf-8"?>
<ds:datastoreItem xmlns:ds="http://schemas.openxmlformats.org/officeDocument/2006/customXml" ds:itemID="{E32AEF94-FEA9-4843-93E5-6CDAE782725E}">
  <ds:schemaRefs/>
</ds:datastoreItem>
</file>

<file path=customXml/itemProps27.xml><?xml version="1.0" encoding="utf-8"?>
<ds:datastoreItem xmlns:ds="http://schemas.openxmlformats.org/officeDocument/2006/customXml" ds:itemID="{A8DC1ABD-0729-4CA7-93A5-E0773C38F936}">
  <ds:schemaRefs/>
</ds:datastoreItem>
</file>

<file path=customXml/itemProps28.xml><?xml version="1.0" encoding="utf-8"?>
<ds:datastoreItem xmlns:ds="http://schemas.openxmlformats.org/officeDocument/2006/customXml" ds:itemID="{9114014E-F707-4739-9548-815F4483D1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Reports</vt:lpstr>
      <vt:lpstr>Dashboard</vt:lpstr>
      <vt:lpstr>Cleaned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20912021100493</dc:creator>
  <cp:lastModifiedBy>s30209111801534</cp:lastModifiedBy>
  <dcterms:created xsi:type="dcterms:W3CDTF">2026-03-05T04:32:00Z</dcterms:created>
  <dcterms:modified xsi:type="dcterms:W3CDTF">2026-04-17T12:48:30Z</dcterms:modified>
</cp:coreProperties>
</file>